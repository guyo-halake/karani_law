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OneDrive\Desktop\Documents\"/>
    </mc:Choice>
  </mc:AlternateContent>
  <bookViews>
    <workbookView xWindow="0" yWindow="0" windowWidth="23040" windowHeight="9192"/>
  </bookViews>
  <sheets>
    <sheet name="Sheet1" sheetId="1" r:id="rId1"/>
  </sheets>
  <definedNames>
    <definedName name="_xlnm.Print_Area" localSheetId="0">Sheet1!$A$1:$F$310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 i="1" l="1"/>
  <c r="D203" i="1" l="1"/>
  <c r="D39" i="1"/>
  <c r="D37" i="1"/>
  <c r="D34" i="1"/>
  <c r="D28" i="1"/>
  <c r="D33" i="1"/>
  <c r="D32" i="1"/>
  <c r="D30" i="1"/>
  <c r="D257" i="1"/>
  <c r="D256" i="1"/>
  <c r="D255" i="1"/>
  <c r="D254" i="1"/>
  <c r="D253" i="1"/>
  <c r="D252" i="1"/>
  <c r="D251" i="1"/>
  <c r="D250" i="1"/>
  <c r="D249" i="1"/>
  <c r="D248" i="1"/>
  <c r="D247" i="1"/>
  <c r="D246" i="1"/>
  <c r="D245" i="1"/>
  <c r="D243" i="1"/>
  <c r="D242" i="1"/>
  <c r="D241" i="1"/>
  <c r="D240" i="1"/>
  <c r="D238" i="1"/>
  <c r="D237" i="1"/>
  <c r="D233" i="1"/>
  <c r="D227" i="1"/>
  <c r="D226" i="1"/>
  <c r="D217" i="1"/>
  <c r="D199" i="1"/>
  <c r="D195" i="1"/>
  <c r="D193" i="1"/>
  <c r="D190" i="1"/>
  <c r="D184" i="1"/>
  <c r="D183" i="1"/>
  <c r="D180" i="1"/>
  <c r="D178" i="1"/>
  <c r="D175" i="1"/>
  <c r="D172" i="1"/>
  <c r="D170" i="1"/>
  <c r="D167" i="1"/>
  <c r="D165" i="1"/>
  <c r="D162" i="1"/>
  <c r="D150" i="1"/>
  <c r="D149" i="1"/>
  <c r="D145" i="1"/>
  <c r="D142" i="1"/>
  <c r="D138" i="1"/>
  <c r="D137" i="1"/>
  <c r="D128" i="1"/>
  <c r="D126" i="1"/>
  <c r="D122" i="1"/>
  <c r="D115" i="1"/>
  <c r="D110" i="1"/>
  <c r="D107" i="1"/>
  <c r="D102" i="1"/>
  <c r="D95" i="1"/>
  <c r="D94" i="1"/>
  <c r="D18" i="1" l="1"/>
  <c r="D24" i="1" s="1"/>
  <c r="D15" i="1"/>
  <c r="D277" i="1" s="1"/>
  <c r="D279" i="1" l="1"/>
  <c r="D280" i="1" s="1"/>
  <c r="D281" i="1" s="1"/>
  <c r="D283" i="1" s="1"/>
</calcChain>
</file>

<file path=xl/sharedStrings.xml><?xml version="1.0" encoding="utf-8"?>
<sst xmlns="http://schemas.openxmlformats.org/spreadsheetml/2006/main" count="308" uniqueCount="280">
  <si>
    <t>ITEM NO.</t>
  </si>
  <si>
    <t xml:space="preserve">PARTICULARS OF SERVICES RENDERED </t>
  </si>
  <si>
    <t>AMOUNT CLAIMED</t>
  </si>
  <si>
    <t>AMOUNT TAXED OFF</t>
  </si>
  <si>
    <t>To receiving instructions to act on behalf of the Claimant to institute a dispute against the the Respondent before an Arbitral Tribunal for:</t>
  </si>
  <si>
    <t>a. A declaration that the Architect ought to have issued a certificate for the release of the 2nd moiety of retention on 14th February 2021</t>
  </si>
  <si>
    <t>b. A declaration that the release of the 2nd moeity of retention was due on 28th February 2021</t>
  </si>
  <si>
    <t xml:space="preserve">c. An order for the Respondent to pay the Claimant the sum of Kshs. 3,000,000.00 being the 2nd Moiety of Retention </t>
  </si>
  <si>
    <t>d. An order for the Respondent to pay the Claimant interest on Kshs. 3,000,000.00 at the Central Bank of Kenya (CBK) rates from 1st March 2021 until payment in full. The accrued interest as at the date of the Statement of Claim is Kshs. 1,002,246.58.</t>
  </si>
  <si>
    <t>e. An order for the Respondent to pay the Claimant the sum of Kshs. 447,760.00 being the quoted amount for timber floor replacement.</t>
  </si>
  <si>
    <t>f. An order for the Respondent to pay the Claimant interest on Kshs. 447,760.00 at the Central Bank of Kenya (CBK) rates from 28th April 2021 until payment in full. The accrued interest as at the date of the Statement of Claim is Kshs. 139,627.52</t>
  </si>
  <si>
    <t xml:space="preserve">g. An order for the Respondent to pay the cost of Arbitration and the Claimant's costs in respect of this Arbitration. </t>
  </si>
  <si>
    <t>a) The Claimant's Claim be dismissed</t>
  </si>
  <si>
    <t xml:space="preserve">c) A declaration that the Architect ought to have issued a certificate under Clause 43.1 of the contract entitling the Respondent to damages for the delay in the completion of the contract for at least 9 weeks be issued and an order firecting the Architect to issue the certificate under Clause 43.1 of the contract be made. </t>
  </si>
  <si>
    <t>b) An award of Kshs. 3,522,803.00 together with interest at bank rates be made to the Respondent from the 27th August 2022 until payment in full.</t>
  </si>
  <si>
    <t xml:space="preserve">d) An order directing the Claimat to pay the Respondent damages for the delay in completion amounting to Kshs. 2,700,000.00 with interest thereon at entral Banl of Kenya rates from 14th August 2020, untill settlement in full. </t>
  </si>
  <si>
    <t xml:space="preserve">e) The costs of the claim and the counterclaim be awarded to the Respondent. </t>
  </si>
  <si>
    <t xml:space="preserve">Claimant's Defence against the Respondent's Counterclaim </t>
  </si>
  <si>
    <t>Getting up fees for trial</t>
  </si>
  <si>
    <t>Taking into Consideration the following:</t>
  </si>
  <si>
    <t>Drawing the following documents:</t>
  </si>
  <si>
    <t>Statement of Claim (17 folios)</t>
  </si>
  <si>
    <t>Claimant's List of Documents (2 folios)</t>
  </si>
  <si>
    <t>Claimant's Final Submissions (254.7 folios)</t>
  </si>
  <si>
    <t>Claimant's List of Authorities (3 folios)</t>
  </si>
  <si>
    <t>Claimant's Replying Submissions (70.9 folios)</t>
  </si>
  <si>
    <t>Claimant's List of Authorities (2 folios)</t>
  </si>
  <si>
    <t>From the Respondent</t>
  </si>
  <si>
    <t xml:space="preserve">From the Arbitrator </t>
  </si>
  <si>
    <t>Printing the following documents</t>
  </si>
  <si>
    <t xml:space="preserve">Writing the Following necessary Letters and Email Correspondence </t>
  </si>
  <si>
    <t>Letter requesting for Extension of Time to file a Statement of Claim (2 folios)</t>
  </si>
  <si>
    <t>Email forwarding the letter dated 05/07/2023 requesting for Extension (1 folio)</t>
  </si>
  <si>
    <t xml:space="preserve">Email requesting for further Extension of Time until 20/07/2023 to file the Statement of Claim </t>
  </si>
  <si>
    <t>Email filing and serving the Statement of Claim dated 20/07/2023 (1 folio)</t>
  </si>
  <si>
    <t>Email attaching the Claimant's Bundle of Documents marked as C1 (1 folio)</t>
  </si>
  <si>
    <t>Claimant's List of Issues for determination (2 folios)</t>
  </si>
  <si>
    <t>Email responding to the Respondent's draft issues for determination shared on 09/10/2023 (1 folio)</t>
  </si>
  <si>
    <t>Email forwarding the issues for determination to the Respondent for consderation (1 folio)</t>
  </si>
  <si>
    <t>Email confirming availability for the procedural meeting to be held on 13/10/2023 (1 folio)</t>
  </si>
  <si>
    <t>Email to the Respondent on the agreed issues for determination (1 folio)</t>
  </si>
  <si>
    <t>Email filing and serving the Claimant's issues for determination (1 folio)</t>
  </si>
  <si>
    <t>Email filing and serving the Witness Statement of Mr. Barnabas Mati and the Claimant's Combined Bundle  (1 folio)</t>
  </si>
  <si>
    <t>Email requesting for Extension of Time to file the Claimant's Witness Statement and Combined Pleadings/Bundle (1 folio)</t>
  </si>
  <si>
    <t>Witness Statement of Mr. Barnabas Mati (7 folios)</t>
  </si>
  <si>
    <t>Email confirming availability for the proposed meeting to be held on 01/11/2023 (1 folio)</t>
  </si>
  <si>
    <t>Email filing and serving the Reply to Defence and Defence to Counterclaim (1 folio)</t>
  </si>
  <si>
    <t>Reply to Defence and Defence to Counterclaim (21 folios)</t>
  </si>
  <si>
    <t>Email responding to the Respondent's request to be allowed to file its combined bundle out of time (1 folio)</t>
  </si>
  <si>
    <t>Application for leave to file Supplementary Documents (18 folios)</t>
  </si>
  <si>
    <t>Email filing and serving the Application for leave to file supplementary documents (1 folio)</t>
  </si>
  <si>
    <t>Claimant's response to the Respondent's grounds of opposition to the Application to file Supplementary documents (31 folios)</t>
  </si>
  <si>
    <t>List and bundle of authorities on the response to the grounds of opposition (1 folio)</t>
  </si>
  <si>
    <t>Email filing and serving the response to the grounds of opposition as well as the authorities with repect to the application for leave to file supplementary documents (1 folio)</t>
  </si>
  <si>
    <t>Email requesting for hearing time change (1 folio)</t>
  </si>
  <si>
    <t>Claimant's Submissions on the Respondent's Application for a Site Visit (4 folios)</t>
  </si>
  <si>
    <t>Email filing and serving the Submissions in respect of the Site Visit (1 folio)</t>
  </si>
  <si>
    <t>Email confirming availability for a site visit (1 folio)</t>
  </si>
  <si>
    <t>Email responding to the Respondent's request for a time change for the site visit (1 folio)</t>
  </si>
  <si>
    <t>Email requesting for a pin location for the site (1 folio)</t>
  </si>
  <si>
    <t>Email replying to the Respondent's response on the cancellation of the site visit (1 folio)</t>
  </si>
  <si>
    <t>Email confirming availability for the re-scheduled site visit (1 folio)</t>
  </si>
  <si>
    <t>Email responding to the Respondent's withdrawal of the site visit request (1 folio)</t>
  </si>
  <si>
    <t>Email requesting for Extension of Time to file the Claimant's Submissions (1 folio)</t>
  </si>
  <si>
    <t>Email requesting for further Extension of Time to file the Claimant's Submissions (1 folio)</t>
  </si>
  <si>
    <t>Email requesting for a breakdown of Fee note No. 3 (1 folio)</t>
  </si>
  <si>
    <t>Email filing and serving the Claimant's Submissions (1 folio)</t>
  </si>
  <si>
    <t>Email responding to the Respondent's request for extension of time to file submissions (1 folio)</t>
  </si>
  <si>
    <t>Email requesting for leave to file rejoinder submissions (1 folio)</t>
  </si>
  <si>
    <t>Email requesting for extension of time to file replying submissions (1 folio)</t>
  </si>
  <si>
    <t>Email requesting for further Extension of Time to file the Claimant's Replying Submissions (1 folio)</t>
  </si>
  <si>
    <t>Email filing and serving the Claimant's Replying Submissions (1 folio)</t>
  </si>
  <si>
    <t>Letter dated 27/02/2025 in response to the Respondent's email of 25/02/2025 (3 folios)</t>
  </si>
  <si>
    <t>Email forwarding the letter dated 27/02/2025</t>
  </si>
  <si>
    <t>Email acknowledging receipt of the Tribunal's update on the status of the award (1 folio)</t>
  </si>
  <si>
    <t>Email requesting for timelines for the release of the Award (1 folio)</t>
  </si>
  <si>
    <t>Email forwarding proof of payment of Fee Note No. 4 (1 folio)</t>
  </si>
  <si>
    <t>Email responding to issues of payment of Withholding Tax (1 folio)</t>
  </si>
  <si>
    <t>Email communicating Claimant's difficulties in remmiting WHT (1 folio)</t>
  </si>
  <si>
    <t>Email requesting for Sales Receipts to facilitate remittance of WHT (1 folio)</t>
  </si>
  <si>
    <t>Email confirming receipt of the Final Arbitral Award (1 folio)</t>
  </si>
  <si>
    <t>Necessary Perusal of the following served documents and Correspondence:</t>
  </si>
  <si>
    <t>Response to Statement of Claim and Counterclaim (18 folios)</t>
  </si>
  <si>
    <t>Respondent's Bundle of Documents (45 folios)</t>
  </si>
  <si>
    <t>Email filing and serving an ommited document from the Respondent's Bundle of Documents (1 folio)</t>
  </si>
  <si>
    <t>Email filing and serving the Response to Statement of Claim &amp; Counterclaim as well as the Respondent's Bundle of documents (1 folio)</t>
  </si>
  <si>
    <t>Email confirming Order for Directions No. 3 and a meeting scheduled for 13/10/2023 (1 folio)</t>
  </si>
  <si>
    <t>Email requesting for Issues for determination (1 folio)</t>
  </si>
  <si>
    <t>Email forwarding the Respondent's issues for determination to the Claimant (1 folio)</t>
  </si>
  <si>
    <t>Respondent's Issues for determination (5 folios)</t>
  </si>
  <si>
    <t>Witness Statement of Mr. Sunil Shah (11 folios)</t>
  </si>
  <si>
    <t>Email confirming availability for the proposed meeting on 01/11/2023 (1 folio)</t>
  </si>
  <si>
    <t>Email commenting on the Claimant's filing of its Witness Statement (1 folio)</t>
  </si>
  <si>
    <t>Email regarding filing of the Respondent's Witness Statement (1 folio)</t>
  </si>
  <si>
    <t>Respondent's Grounds of Opposition in respect of the Claimant's Application for leave to file supplementary documents (10 folios)</t>
  </si>
  <si>
    <t>Email filing and serving the grounds of opposition (1 folio)</t>
  </si>
  <si>
    <t>Email acknowledging receipt of Order for Directions No. 6 and Fee Note No. 2 (1 folio)</t>
  </si>
  <si>
    <t>Email forwarding E-Tims Receipts (1 folio)</t>
  </si>
  <si>
    <t>Email filing and serving the Respondent's Combined Bundle of Pleadings and Documents (1 folio)</t>
  </si>
  <si>
    <t>Email responding to the Tribunal's disclosure on potential Conflict of Interest (1 folio)</t>
  </si>
  <si>
    <t>Email requesting for typed proceedings of the hearing held on 06/03/2024 (1 folio)</t>
  </si>
  <si>
    <t>Respondent's Submissions on their Application for a site visit (32 folios)</t>
  </si>
  <si>
    <t>Email filing and serving the Respondent's Submissions in respect of the site visit (1 folio)</t>
  </si>
  <si>
    <t>Email communicating the Respondent's decision to withdraw the request for a site visit (1 folio)</t>
  </si>
  <si>
    <t>Email responding to the Tribunal's communication on the proposed site visit (1 folio)</t>
  </si>
  <si>
    <t>Email requesting for a reschedule of the proposed site visit time (1 folio)</t>
  </si>
  <si>
    <t>Email responding to the Tribunal's cancellation of the proposed site visit (1 folio)</t>
  </si>
  <si>
    <t>Email responding to the Claimant's request for extension of time to file submissions (1 folio)</t>
  </si>
  <si>
    <t>Email on filing of the Claimant's Submissions
Email requesting for transcripts of the hearing held on 14/06/2024 (2 folios)</t>
  </si>
  <si>
    <t>Email forwarding withholding tax certificates (1 folio)</t>
  </si>
  <si>
    <t>Email requesting for extension of time to file submissions (1 folio)</t>
  </si>
  <si>
    <t>Email requesting for further extension of time to file submissions (1 folio)</t>
  </si>
  <si>
    <t>Email filing and serving the Respondent's Final Submissions (1 folio)</t>
  </si>
  <si>
    <t>Email confirming receipt of Order for Directions No. 13 (1 folio)</t>
  </si>
  <si>
    <t>Email commenting on the Claimant's Replying Submissions (1 folio)</t>
  </si>
  <si>
    <t>Email responding to the Claimant's request to file rejoinder submissions (1 folio)</t>
  </si>
  <si>
    <t>Respondent's Final Submissions (120 folios)</t>
  </si>
  <si>
    <t xml:space="preserve">Respondent's Authorities in support of its final submissions (330 folios) </t>
  </si>
  <si>
    <t>Email confieming receipt of the Arbitrator's status update on the release of the award (1 folio)</t>
  </si>
  <si>
    <t>Email in response to the Tribunal's letter of 13/10/2025 (1 folio)</t>
  </si>
  <si>
    <t>Order for Directions No. 1 (23 folios)</t>
  </si>
  <si>
    <t>Addendum to Order for Directions No. 1 (3 folios)</t>
  </si>
  <si>
    <t xml:space="preserve">Email forwarding Order for Directions No. 1 and the Addendum thereto (1 folio) </t>
  </si>
  <si>
    <t>Order for Directions No. 2 (4 folios)</t>
  </si>
  <si>
    <t xml:space="preserve">Email forwarding Order for Directions No. 2 (1 folio) </t>
  </si>
  <si>
    <t>Order for Directions No. 3 (3 folios)</t>
  </si>
  <si>
    <t>Email forwarding Order for Directions No. 3 (1 folio)</t>
  </si>
  <si>
    <t>Email inquiring on the filing of the parties' issues for determination (1 folio)</t>
  </si>
  <si>
    <t>Email acknowledging receipt of the Claimant's Claim and Documents (1 folio)</t>
  </si>
  <si>
    <t>Email further inquiring on the filing of the parties' issues for determination (1 folio)</t>
  </si>
  <si>
    <t>Order for Directions No. 4 (5 folios)</t>
  </si>
  <si>
    <t>Engagement Agreement for Stenography services (3 folios)</t>
  </si>
  <si>
    <t>Email forwarding Order for Directions No. 4 and Agreement for engagement of a stenographer (1 folio)</t>
  </si>
  <si>
    <t>Email acknowledging receipt of the Claimant's Combined Documents and witness statement (1 folio)</t>
  </si>
  <si>
    <t>Email sending an invitation to the scheduled meeting (1 folio)</t>
  </si>
  <si>
    <t>Email proposing a virtual meeting on 1/11/2023 to address the Respondent's concerns raised in its email of 31/10/2023 (1 folio)</t>
  </si>
  <si>
    <t>Order for Directions No. 6 which contained a Ruling on the Claimant's Application for leave to file supplementary documents (22 folios)</t>
  </si>
  <si>
    <t xml:space="preserve">Email forwarding the Order for Directions No. 6 (1 folio) </t>
  </si>
  <si>
    <t>Order for Directions No. 7 (4 folios)</t>
  </si>
  <si>
    <t>Email forwarding Order for Directions No. 7 (1 folio)</t>
  </si>
  <si>
    <t>Order for Directions No. 8 (6 folios)</t>
  </si>
  <si>
    <t>Email forwarding Order for Directions No. 8 (1 folio)</t>
  </si>
  <si>
    <t>Order for Directions No. 9 (9 folios)</t>
  </si>
  <si>
    <t>Email forwarding Order for Directions No. 9 (1 folio)</t>
  </si>
  <si>
    <t>Order for Directions No. 10 (8 folios)</t>
  </si>
  <si>
    <t>Email confirming the Claimant's compliance with Order for Directions No. 10 and requesting for the Respondent's compliance (1 folio)</t>
  </si>
  <si>
    <t>Order for Directions No. 11 (11 folios)</t>
  </si>
  <si>
    <t>Email forwarding Order for Directions No. 11 (1 folio)</t>
  </si>
  <si>
    <t>Email disclosing potential conflict of interest (2 folios)</t>
  </si>
  <si>
    <t>Email resolving the issue of potential conflict of interest (1 folio)</t>
  </si>
  <si>
    <t>Email forwarding the agenda for the hearing to be held on 06/03/2024-08/03/2024 (1 folio)</t>
  </si>
  <si>
    <t>Hearing Agenda No. 2 (2 folios)</t>
  </si>
  <si>
    <t>Email granting the request to reschedule the hearing start time (1 folio)</t>
  </si>
  <si>
    <t>Fee Note No. 2 (3 folios) and the Email attaching the said fee note (1 folio)</t>
  </si>
  <si>
    <t>Fee Note No. 3 (7 folios) and the Email attaching the said fee note (1 folio)</t>
  </si>
  <si>
    <t>Addendum Fee Note No. 3 and the Email attaching the said fee note (2 folios)</t>
  </si>
  <si>
    <t>Email forwarding Order for Directions No. 10 and reminding parties to settle Fee note No. 3 (1 folio)</t>
  </si>
  <si>
    <t>06/06/224</t>
  </si>
  <si>
    <t>Email forwarding a link for the hearing of 15/01/2024 (1 folio)</t>
  </si>
  <si>
    <t>Hearing Agenda No. 3 (2 folios)</t>
  </si>
  <si>
    <t>Email forwarding hearing agenda No. 3 (1 folio)</t>
  </si>
  <si>
    <t>Email forwarding a link for the hearing of 07/06/2024 (1 folio)</t>
  </si>
  <si>
    <t>Email on settlement of Fee Note No. 3 and forwarding a Sales Receipt (1 folio)</t>
  </si>
  <si>
    <t>Email granting the Claimant's request for extension of time to file submissions (1 folio)</t>
  </si>
  <si>
    <t>Email responding to the Claimant's request for further extension of time to file submissions (1 folio)</t>
  </si>
  <si>
    <t>Email on payment of Fee Note No. 3 by the Claimant (1 folio)</t>
  </si>
  <si>
    <t>Email on payment of Withholding Tax on Fee Note No. 3 (1 folio)</t>
  </si>
  <si>
    <t>Pre-hearing review agenda (3 folios)</t>
  </si>
  <si>
    <t>Email on the pre-hearing review scheduled for 13/10/2024 (1 folio)</t>
  </si>
  <si>
    <t>Email forwarding a link for the pre-hearing (1 folio)</t>
  </si>
  <si>
    <t>Email forwarding the transcripts for the hearing of 8/3/2024 (1 folio)</t>
  </si>
  <si>
    <t>Email on the filing of the Respondent's Witness Statement (1 folio)</t>
  </si>
  <si>
    <t>Email acknowledging receipt of the Respondent's Witness Statement (1 folio)</t>
  </si>
  <si>
    <t>Email acknowledging receipt of Submissions (1 folio)</t>
  </si>
  <si>
    <t>Email requesting for a response on the Claimant's application for leave to file supplementary documents (1 folio)</t>
  </si>
  <si>
    <t>Email in response to the Claimant's request to file rejoinder submissions (1 folio)</t>
  </si>
  <si>
    <t>Email acknowledging receipt of documents with respect to the Application for leave to file supplementary documents (1 folio)</t>
  </si>
  <si>
    <t>Email forwarding a letter dated 24/02/2024 (1 folio)</t>
  </si>
  <si>
    <t>Confirmation letter dated 10/03/2024 (4 folios)</t>
  </si>
  <si>
    <t>Email resubmitting the confirmation letter (1 folio)</t>
  </si>
  <si>
    <t>Letter dated 24/02/2024 (4 folios)</t>
  </si>
  <si>
    <t>Email with respect to the proposed site visit (3 folios)</t>
  </si>
  <si>
    <t>Email providing further details on the proposed site visit (1 folio)</t>
  </si>
  <si>
    <t>Email giving directions on provision of more information on the proposed site visit (1 folio)</t>
  </si>
  <si>
    <t>Email cancelling the proposed site visit (1 folio)</t>
  </si>
  <si>
    <t>Email with respect to the transcripts for the hearing held on 08/03/2024 (1 folio)</t>
  </si>
  <si>
    <t>Email forwarding the transcripts for the hearing held on 08/03/2024 (1 folio)</t>
  </si>
  <si>
    <t>Email on closing submissions (1 folio)</t>
  </si>
  <si>
    <t>Email admitting the Claimant's Submissions (1 folio)</t>
  </si>
  <si>
    <t>Email on filing of the Respondent's Submissions (1 folio)</t>
  </si>
  <si>
    <t>Further Email on filing of the Respondent's Submissions (1 folio)</t>
  </si>
  <si>
    <t>Email granting the Respondent's request for extension of time to file submissions (1 folio)</t>
  </si>
  <si>
    <t>Email on the Respondent's non-compliance with filing submissions (1 folio)</t>
  </si>
  <si>
    <t>Email granting the Respondent's further request for extension of time to file submissions (1 folio)</t>
  </si>
  <si>
    <t>Email requesting the Respondent to file its Authorities (1 folio)</t>
  </si>
  <si>
    <t>Email with respect to the Respondent's filed authorities (1 folio)</t>
  </si>
  <si>
    <t>Email with respect to the Claimant's request to file rejoinder submissions (1 folio)</t>
  </si>
  <si>
    <t>Order for Directions No. 12 (4 folios)</t>
  </si>
  <si>
    <t>Email forwarding Order for Directions No. 12 (1 folio)</t>
  </si>
  <si>
    <t>Email granting the Claimant's request for extension of time to file Replying submissions (1 folio)</t>
  </si>
  <si>
    <t>Email granting the Claimant's further request for extension of time to file Replying Submissions (1 folio)</t>
  </si>
  <si>
    <t>Order for Directions No. 13 (10 folios)</t>
  </si>
  <si>
    <t>Email forwarding Order for Directions No. 13 (1 folio)</t>
  </si>
  <si>
    <t>Email updating parties on the status of the award (1 folio)</t>
  </si>
  <si>
    <t>Email further updating parties on the status of the award (1 folio)</t>
  </si>
  <si>
    <t>Email forwarding Fee Note No. 4 (1 folio)</t>
  </si>
  <si>
    <t>Fee Note No. 4 (4 folios)</t>
  </si>
  <si>
    <t>Notification that the award is ready for collection (2 folios)</t>
  </si>
  <si>
    <t xml:space="preserve">Email reminding parties to settle Fee Note No. 4 (1 folio) </t>
  </si>
  <si>
    <t>Further Email on payment of Fee Note No. 4 (1 folio)</t>
  </si>
  <si>
    <t>Email requesting for remittance of withholding tax (1 folio)</t>
  </si>
  <si>
    <t>Email acknowledging payment of fee note No. 4 save for withholding tax (1 folio)</t>
  </si>
  <si>
    <t>Email on release of the award and settlement of the outstanding sums (1 folio)</t>
  </si>
  <si>
    <t>02/10/2025
-
10/10/2025</t>
  </si>
  <si>
    <t>Correspondence on remittance of withholding tax (4 folios)</t>
  </si>
  <si>
    <t>Letter enclosing the release of the Final Award (2 folios)</t>
  </si>
  <si>
    <t>H</t>
  </si>
  <si>
    <t>Further Having regard to:</t>
  </si>
  <si>
    <t>i. General care and conduct of the matter</t>
  </si>
  <si>
    <t>iii. The interests of the parties</t>
  </si>
  <si>
    <t xml:space="preserve">iv.  Importance and complexity of the dispute and the volumes of documents involved. </t>
  </si>
  <si>
    <t>I</t>
  </si>
  <si>
    <t>J</t>
  </si>
  <si>
    <t>VAT (16%)</t>
  </si>
  <si>
    <r>
      <t xml:space="preserve">To receiving instructions to act on behalf of the Claimant to defend the Claimant against the Respondent's Counterclaim of </t>
    </r>
    <r>
      <rPr>
        <b/>
        <sz val="12"/>
        <color theme="1"/>
        <rFont val="Times New Roman"/>
        <family val="1"/>
      </rPr>
      <t>Kshs. 6,222,803.00</t>
    </r>
    <r>
      <rPr>
        <sz val="12"/>
        <color theme="1"/>
        <rFont val="Times New Roman"/>
        <family val="1"/>
      </rPr>
      <t xml:space="preserve"> broken down as follows:</t>
    </r>
  </si>
  <si>
    <t>Email acknowledging Order for Directions No. 1 (1 folios)</t>
  </si>
  <si>
    <t>Email on the Arbitrator's fees (1 folio)</t>
  </si>
  <si>
    <t>Email requesting for Claimant's Bundle C1 (1 folio)</t>
  </si>
  <si>
    <t>Email acknowledging receipt of the Claimant's Reply to Defence and Defence to Counterclaim (1 folio)</t>
  </si>
  <si>
    <t>Email filing and serving the Respondent's issues for determination (1 folio)</t>
  </si>
  <si>
    <t>Email requesting for comments on the Claimant's request for Extension of Time made on 05/07/2023 (1 folio)</t>
  </si>
  <si>
    <t>Email on filing of the Claimant's statement of claim (1 folio)</t>
  </si>
  <si>
    <t>Email granting the Claimant's request for extension of time made on 23/10/2023 (1 folio)</t>
  </si>
  <si>
    <t>Combined transcripts for the 4 days hearing (304 folios)</t>
  </si>
  <si>
    <t xml:space="preserve">Making the Following Virtual Attendances </t>
  </si>
  <si>
    <t>Hearing (Full Day)</t>
  </si>
  <si>
    <t>Hearing (Half Day)</t>
  </si>
  <si>
    <t>Preliminary Meeting (1 hr 15mins)</t>
  </si>
  <si>
    <t>Procedural Meeting</t>
  </si>
  <si>
    <t>Instruction Fees</t>
  </si>
  <si>
    <t>A</t>
  </si>
  <si>
    <t>Prosecution of the Claimant's Claim against the Respondent</t>
  </si>
  <si>
    <t>B</t>
  </si>
  <si>
    <t>C</t>
  </si>
  <si>
    <t>D</t>
  </si>
  <si>
    <t>i.</t>
  </si>
  <si>
    <t>i</t>
  </si>
  <si>
    <t>ii</t>
  </si>
  <si>
    <t>(a)</t>
  </si>
  <si>
    <t>(b)</t>
  </si>
  <si>
    <t>E</t>
  </si>
  <si>
    <t>F</t>
  </si>
  <si>
    <t>G</t>
  </si>
  <si>
    <t>CLAIMANT'S PARTY AND PARTY BILL OF COSTS
Pursuant to the Advocates (Remuneration) (Amendment) Order 2014 - Schedule 6</t>
  </si>
  <si>
    <t>DATE+A3:E14</t>
  </si>
  <si>
    <t>REPUBLIC OF KENYA
IN THE MATTER OF THE ARBITRATIO ACT 1995
AND
IN THE MATTER OF AN ARBITRATION ON THE DISPUTE OVER THE CONTRACT FOR THE CONSTRUCTION OF A RESIDENTIAL HOUSE AT MUTHAIGA, NAIROBI
BETWEEN
DHANYA CONSTRUCTION KENYA LIMITED………………………………………………..........CLAIMANT
AND 
MR. SUNIL SHAH...............................................................................................................................RESPONDENT
[BEFORE ARCH. NEKOYE MASIBILI, MCIARB]</t>
  </si>
  <si>
    <t>DRAWN &amp; FILED BY:</t>
  </si>
  <si>
    <t>Nyagah B. Kithinji &amp; Co. Advocates</t>
  </si>
  <si>
    <t>#205 Mbaruk Road, Off Muchai Drive</t>
  </si>
  <si>
    <t>Golf Course Estate</t>
  </si>
  <si>
    <t>P.O Box 1992-00100</t>
  </si>
  <si>
    <t>NAIROBI</t>
  </si>
  <si>
    <t>info@nbkco-advocates.com; nbkithinji@nbkco-advocates.com</t>
  </si>
  <si>
    <t xml:space="preserve">TO BE SERVED UPON: </t>
  </si>
  <si>
    <t>Owiti Otieno &amp; Ragot Advocates</t>
  </si>
  <si>
    <t>4th Avenue Towers 11th Floor</t>
  </si>
  <si>
    <t>4th Ngong Avenue</t>
  </si>
  <si>
    <t>P. O. Box 48305-00100</t>
  </si>
  <si>
    <t>info@oorlaw.co.ke</t>
  </si>
  <si>
    <t>NYAGAH B. KITHINJI &amp; CO. ADVOCATES</t>
  </si>
  <si>
    <t>ADVOCATES FOR THE CLAIMANT</t>
  </si>
  <si>
    <r>
      <rPr>
        <b/>
        <sz val="12"/>
        <color theme="1"/>
        <rFont val="Times New Roman"/>
        <family val="1"/>
      </rPr>
      <t>DATED</t>
    </r>
    <r>
      <rPr>
        <sz val="12"/>
        <color theme="1"/>
        <rFont val="Times New Roman"/>
        <family val="1"/>
      </rPr>
      <t xml:space="preserve"> at </t>
    </r>
    <r>
      <rPr>
        <b/>
        <sz val="12"/>
        <color theme="1"/>
        <rFont val="Times New Roman"/>
        <family val="1"/>
      </rPr>
      <t>NAIROBI</t>
    </r>
    <r>
      <rPr>
        <sz val="12"/>
        <color theme="1"/>
        <rFont val="Times New Roman"/>
        <family val="1"/>
      </rPr>
      <t xml:space="preserve"> this……………………………..day of…………………………………………..</t>
    </r>
    <r>
      <rPr>
        <b/>
        <sz val="12"/>
        <color theme="1"/>
        <rFont val="Times New Roman"/>
        <family val="1"/>
      </rPr>
      <t>2026</t>
    </r>
    <r>
      <rPr>
        <sz val="12"/>
        <color theme="1"/>
        <rFont val="Times New Roman"/>
        <family val="1"/>
      </rPr>
      <t xml:space="preserve">
</t>
    </r>
  </si>
  <si>
    <t>Sub-total (Party and Party Costs)</t>
  </si>
  <si>
    <t>Professional fees</t>
  </si>
  <si>
    <t>Sub-total Fees + VAT</t>
  </si>
  <si>
    <t>K</t>
  </si>
  <si>
    <t>L</t>
  </si>
  <si>
    <t>Grand Total</t>
  </si>
  <si>
    <r>
      <t xml:space="preserve">Considering the value of the subject matter is </t>
    </r>
    <r>
      <rPr>
        <b/>
        <sz val="12"/>
        <color theme="1"/>
        <rFont val="Times New Roman"/>
        <family val="1"/>
      </rPr>
      <t>Kshs. 5,048,219.18</t>
    </r>
    <r>
      <rPr>
        <sz val="12"/>
        <color theme="1"/>
        <rFont val="Times New Roman"/>
        <family val="1"/>
      </rPr>
      <t xml:space="preserve"> - which is the amount awarded on 28/07/2025 comprising of the principal amount (Kshs. 3,000,000) plus interest as at 14/01/2026 (Kshs. 2,048,219.18) </t>
    </r>
  </si>
  <si>
    <t>ii. The total value of the subject matter being Kshs. 11,271,022.18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</si>
</sst>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10" x14ac:knownFonts="1">
    <font>
      <sz val="11"/>
      <color theme="1"/>
      <name val="Calibri"/>
      <family val="2"/>
      <scheme val="minor"/>
    </font>
    <font>
      <sz val="11"/>
      <color theme="1"/>
      <name val="Calibri"/>
      <family val="2"/>
      <scheme val="minor"/>
    </font>
    <font>
      <sz val="12"/>
      <color theme="1"/>
      <name val="Maiandra GD"/>
      <family val="2"/>
    </font>
    <font>
      <b/>
      <sz val="11"/>
      <color theme="1"/>
      <name val="Maiandra GD"/>
      <family val="2"/>
    </font>
    <font>
      <b/>
      <sz val="12"/>
      <color theme="1"/>
      <name val="Calibri"/>
      <family val="2"/>
      <scheme val="minor"/>
    </font>
    <font>
      <b/>
      <sz val="12"/>
      <color theme="1"/>
      <name val="Times New Roman"/>
      <family val="1"/>
    </font>
    <font>
      <sz val="12"/>
      <color theme="1"/>
      <name val="Times New Roman"/>
      <family val="1"/>
    </font>
    <font>
      <b/>
      <u/>
      <sz val="12"/>
      <color theme="1"/>
      <name val="Times New Roman"/>
      <family val="1"/>
    </font>
    <font>
      <sz val="11"/>
      <color theme="1"/>
      <name val="Times New Roman"/>
      <family val="1"/>
    </font>
    <font>
      <b/>
      <sz val="11"/>
      <color theme="1"/>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1" fillId="0" borderId="0" applyFont="0" applyFill="0" applyBorder="0" applyAlignment="0" applyProtection="0"/>
  </cellStyleXfs>
  <cellXfs count="61">
    <xf numFmtId="0" fontId="0" fillId="0" borderId="0" xfId="0"/>
    <xf numFmtId="43" fontId="0" fillId="0" borderId="0" xfId="1" applyFont="1"/>
    <xf numFmtId="43" fontId="0" fillId="0" borderId="0" xfId="0" applyNumberFormat="1"/>
    <xf numFmtId="0" fontId="2" fillId="0" borderId="0" xfId="0" applyFont="1"/>
    <xf numFmtId="43" fontId="2" fillId="0" borderId="0" xfId="1" applyFont="1"/>
    <xf numFmtId="0" fontId="2" fillId="0" borderId="0" xfId="0" applyFont="1" applyAlignment="1">
      <alignment horizontal="left"/>
    </xf>
    <xf numFmtId="0" fontId="2" fillId="0" borderId="0" xfId="0" applyFont="1" applyBorder="1"/>
    <xf numFmtId="0" fontId="6" fillId="0" borderId="0" xfId="0" applyFont="1"/>
    <xf numFmtId="0" fontId="6" fillId="0" borderId="0" xfId="0" applyFont="1" applyAlignment="1">
      <alignment horizontal="left"/>
    </xf>
    <xf numFmtId="43" fontId="6" fillId="0" borderId="0" xfId="1" applyFont="1"/>
    <xf numFmtId="0" fontId="5" fillId="0" borderId="1" xfId="0" applyFont="1" applyFill="1" applyBorder="1" applyAlignment="1">
      <alignment horizontal="left" wrapText="1"/>
    </xf>
    <xf numFmtId="0" fontId="6" fillId="0" borderId="1" xfId="0" applyFont="1" applyFill="1" applyBorder="1" applyAlignment="1">
      <alignment horizontal="left" wrapText="1"/>
    </xf>
    <xf numFmtId="0" fontId="5" fillId="0" borderId="1" xfId="0" applyFont="1" applyBorder="1" applyAlignment="1">
      <alignment horizontal="left" wrapText="1"/>
    </xf>
    <xf numFmtId="0" fontId="5" fillId="2" borderId="1" xfId="0" applyFont="1" applyFill="1" applyBorder="1" applyAlignment="1">
      <alignment horizontal="left" wrapText="1"/>
    </xf>
    <xf numFmtId="0" fontId="6" fillId="0" borderId="0" xfId="0" applyFont="1" applyAlignment="1">
      <alignment horizontal="center" wrapText="1"/>
    </xf>
    <xf numFmtId="0" fontId="5" fillId="0" borderId="0" xfId="0" applyFont="1" applyAlignment="1">
      <alignment horizontal="center" vertical="center"/>
    </xf>
    <xf numFmtId="0" fontId="4" fillId="0" borderId="0" xfId="0" applyFont="1" applyAlignment="1"/>
    <xf numFmtId="0" fontId="0" fillId="0" borderId="0" xfId="0" applyAlignment="1"/>
    <xf numFmtId="0" fontId="5" fillId="0" borderId="1" xfId="0" applyFont="1" applyBorder="1" applyAlignment="1">
      <alignment horizontal="left"/>
    </xf>
    <xf numFmtId="43" fontId="5" fillId="0" borderId="1" xfId="1" applyFont="1" applyBorder="1" applyAlignment="1">
      <alignment wrapText="1"/>
    </xf>
    <xf numFmtId="0" fontId="5" fillId="0" borderId="1" xfId="0" applyFont="1" applyBorder="1" applyAlignment="1">
      <alignment wrapText="1"/>
    </xf>
    <xf numFmtId="14" fontId="5" fillId="0" borderId="1" xfId="0" applyNumberFormat="1" applyFont="1" applyBorder="1" applyAlignment="1">
      <alignment horizontal="left"/>
    </xf>
    <xf numFmtId="0" fontId="6" fillId="0" borderId="1" xfId="0" applyFont="1" applyBorder="1" applyAlignment="1">
      <alignment horizontal="left"/>
    </xf>
    <xf numFmtId="0" fontId="6" fillId="0" borderId="1" xfId="0" applyFont="1" applyBorder="1" applyAlignment="1">
      <alignment horizontal="left" wrapText="1"/>
    </xf>
    <xf numFmtId="43" fontId="6" fillId="0" borderId="1" xfId="1" applyFont="1" applyBorder="1"/>
    <xf numFmtId="0" fontId="6" fillId="0" borderId="1" xfId="0" applyFont="1" applyBorder="1"/>
    <xf numFmtId="14" fontId="6" fillId="0" borderId="1" xfId="0" applyNumberFormat="1" applyFont="1" applyBorder="1" applyAlignment="1">
      <alignment horizontal="left"/>
    </xf>
    <xf numFmtId="14" fontId="6" fillId="0" borderId="1" xfId="0" applyNumberFormat="1" applyFont="1" applyBorder="1" applyAlignment="1">
      <alignment horizontal="left" wrapText="1"/>
    </xf>
    <xf numFmtId="0" fontId="6" fillId="0" borderId="1" xfId="0" applyFont="1" applyBorder="1" applyAlignment="1">
      <alignment horizontal="center" wrapText="1"/>
    </xf>
    <xf numFmtId="0" fontId="3" fillId="0" borderId="1" xfId="0" applyFont="1" applyBorder="1" applyAlignment="1">
      <alignment wrapText="1"/>
    </xf>
    <xf numFmtId="0" fontId="5" fillId="0" borderId="1" xfId="0" applyFont="1" applyBorder="1" applyAlignment="1">
      <alignment horizontal="center"/>
    </xf>
    <xf numFmtId="1" fontId="5" fillId="0" borderId="1" xfId="0" applyNumberFormat="1" applyFont="1" applyBorder="1" applyAlignment="1">
      <alignment horizontal="center"/>
    </xf>
    <xf numFmtId="0" fontId="5" fillId="0" borderId="1" xfId="0" applyFont="1" applyBorder="1" applyAlignment="1">
      <alignment horizontal="justify" vertical="center"/>
    </xf>
    <xf numFmtId="1" fontId="6" fillId="0" borderId="1" xfId="0" applyNumberFormat="1" applyFont="1" applyBorder="1" applyAlignment="1">
      <alignment horizontal="center"/>
    </xf>
    <xf numFmtId="0" fontId="6" fillId="0" borderId="1" xfId="0" applyFont="1" applyBorder="1" applyAlignment="1">
      <alignment horizontal="justify" vertical="center"/>
    </xf>
    <xf numFmtId="0" fontId="6" fillId="0" borderId="1" xfId="0" applyFont="1" applyBorder="1" applyAlignment="1">
      <alignment horizontal="center"/>
    </xf>
    <xf numFmtId="0" fontId="5" fillId="0" borderId="1" xfId="0" applyFont="1" applyBorder="1"/>
    <xf numFmtId="43" fontId="5" fillId="0" borderId="1" xfId="1" applyFont="1" applyBorder="1"/>
    <xf numFmtId="0" fontId="7" fillId="0" borderId="0" xfId="0" applyFont="1" applyAlignment="1">
      <alignment horizontal="center" vertical="center"/>
    </xf>
    <xf numFmtId="0" fontId="7" fillId="0" borderId="0" xfId="0" applyFont="1" applyAlignment="1">
      <alignment horizontal="left" vertical="center"/>
    </xf>
    <xf numFmtId="0" fontId="8" fillId="0" borderId="0" xfId="0" applyFont="1"/>
    <xf numFmtId="0" fontId="6" fillId="0" borderId="0" xfId="0" applyFont="1" applyAlignment="1">
      <alignment horizontal="center"/>
    </xf>
    <xf numFmtId="0" fontId="7" fillId="0" borderId="0" xfId="0" applyFont="1" applyAlignment="1">
      <alignment horizontal="left"/>
    </xf>
    <xf numFmtId="1" fontId="6" fillId="0" borderId="1" xfId="0" applyNumberFormat="1" applyFont="1" applyBorder="1" applyAlignment="1">
      <alignment horizontal="center" wrapText="1"/>
    </xf>
    <xf numFmtId="1" fontId="6" fillId="0" borderId="0" xfId="0" applyNumberFormat="1" applyFont="1" applyAlignment="1">
      <alignment horizontal="center"/>
    </xf>
    <xf numFmtId="1" fontId="2" fillId="0" borderId="0" xfId="0" applyNumberFormat="1" applyFont="1" applyAlignment="1">
      <alignment horizontal="center"/>
    </xf>
    <xf numFmtId="0" fontId="6" fillId="0" borderId="0" xfId="0" applyFont="1" applyBorder="1" applyAlignment="1">
      <alignment horizontal="center"/>
    </xf>
    <xf numFmtId="1" fontId="5" fillId="0" borderId="0" xfId="0" applyNumberFormat="1" applyFont="1" applyBorder="1" applyAlignment="1">
      <alignment horizontal="center"/>
    </xf>
    <xf numFmtId="0" fontId="5" fillId="0" borderId="0" xfId="0" applyFont="1" applyBorder="1"/>
    <xf numFmtId="43" fontId="5" fillId="0" borderId="0" xfId="1" applyFont="1" applyBorder="1"/>
    <xf numFmtId="0" fontId="6" fillId="0" borderId="0" xfId="0" applyFont="1" applyBorder="1"/>
    <xf numFmtId="0" fontId="6" fillId="0" borderId="0" xfId="0" applyFont="1" applyAlignment="1">
      <alignment horizontal="center" wrapText="1"/>
    </xf>
    <xf numFmtId="0" fontId="6" fillId="0" borderId="0" xfId="0" applyFont="1" applyAlignment="1">
      <alignment horizontal="center"/>
    </xf>
    <xf numFmtId="0" fontId="5" fillId="0" borderId="0" xfId="0" applyFont="1" applyBorder="1" applyAlignment="1">
      <alignment horizontal="center" vertical="center" wrapText="1"/>
    </xf>
    <xf numFmtId="0" fontId="5" fillId="0" borderId="0" xfId="0" applyFont="1" applyBorder="1" applyAlignment="1">
      <alignment horizontal="center" vertical="center"/>
    </xf>
    <xf numFmtId="0" fontId="7" fillId="0" borderId="0" xfId="0" applyFont="1" applyBorder="1" applyAlignment="1">
      <alignment horizontal="center" wrapText="1"/>
    </xf>
    <xf numFmtId="0" fontId="7" fillId="0" borderId="0" xfId="0" applyFont="1" applyBorder="1" applyAlignment="1">
      <alignment horizontal="center"/>
    </xf>
    <xf numFmtId="43" fontId="2" fillId="0" borderId="0" xfId="0" applyNumberFormat="1" applyFont="1" applyBorder="1"/>
    <xf numFmtId="0" fontId="9" fillId="0" borderId="1" xfId="0" applyFont="1" applyBorder="1" applyAlignment="1">
      <alignment wrapText="1"/>
    </xf>
    <xf numFmtId="0" fontId="8" fillId="0" borderId="1" xfId="0" applyFont="1" applyBorder="1" applyAlignment="1">
      <alignment wrapText="1"/>
    </xf>
    <xf numFmtId="43" fontId="2" fillId="0" borderId="0" xfId="1" applyFont="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0"/>
  <sheetViews>
    <sheetView tabSelected="1" topLeftCell="A49" zoomScaleNormal="100" workbookViewId="0">
      <selection sqref="A1:E1"/>
    </sheetView>
  </sheetViews>
  <sheetFormatPr defaultRowHeight="15.6" x14ac:dyDescent="0.3"/>
  <cols>
    <col min="1" max="1" width="12.88671875" style="5" customWidth="1"/>
    <col min="2" max="2" width="11.6640625" style="45" customWidth="1"/>
    <col min="3" max="3" width="56.88671875" style="5" customWidth="1"/>
    <col min="4" max="4" width="14.5546875" style="4" customWidth="1"/>
    <col min="5" max="5" width="14.88671875" style="3" customWidth="1"/>
    <col min="6" max="6" width="13.88671875" bestFit="1" customWidth="1"/>
    <col min="7" max="8" width="15.44140625" bestFit="1" customWidth="1"/>
  </cols>
  <sheetData>
    <row r="1" spans="1:8" ht="172.2" customHeight="1" x14ac:dyDescent="0.3">
      <c r="A1" s="53" t="s">
        <v>255</v>
      </c>
      <c r="B1" s="54"/>
      <c r="C1" s="54"/>
      <c r="D1" s="54"/>
      <c r="E1" s="54"/>
    </row>
    <row r="2" spans="1:8" ht="34.200000000000003" customHeight="1" x14ac:dyDescent="0.3">
      <c r="A2" s="55" t="s">
        <v>253</v>
      </c>
      <c r="B2" s="56"/>
      <c r="C2" s="56"/>
      <c r="D2" s="56"/>
      <c r="E2" s="56"/>
      <c r="F2" s="16"/>
      <c r="G2" s="16"/>
      <c r="H2" s="17"/>
    </row>
    <row r="3" spans="1:8" ht="32.4" customHeight="1" x14ac:dyDescent="0.3">
      <c r="A3" s="18" t="s">
        <v>254</v>
      </c>
      <c r="B3" s="31" t="s">
        <v>0</v>
      </c>
      <c r="C3" s="12" t="s">
        <v>1</v>
      </c>
      <c r="D3" s="19" t="s">
        <v>2</v>
      </c>
      <c r="E3" s="20" t="s">
        <v>3</v>
      </c>
    </row>
    <row r="4" spans="1:8" ht="24" customHeight="1" x14ac:dyDescent="0.3">
      <c r="A4" s="21">
        <v>45078</v>
      </c>
      <c r="B4" s="31" t="s">
        <v>240</v>
      </c>
      <c r="C4" s="12" t="s">
        <v>239</v>
      </c>
      <c r="D4" s="19"/>
      <c r="E4" s="20"/>
    </row>
    <row r="5" spans="1:8" ht="25.2" customHeight="1" x14ac:dyDescent="0.3">
      <c r="A5" s="18"/>
      <c r="B5" s="31" t="s">
        <v>246</v>
      </c>
      <c r="C5" s="12" t="s">
        <v>241</v>
      </c>
      <c r="D5" s="19"/>
      <c r="E5" s="20"/>
    </row>
    <row r="6" spans="1:8" ht="46.8" x14ac:dyDescent="0.3">
      <c r="A6" s="22"/>
      <c r="B6" s="33"/>
      <c r="C6" s="23" t="s">
        <v>4</v>
      </c>
      <c r="D6" s="24">
        <f>120000+2%*(20000000-5048219.18)</f>
        <v>419035.6164</v>
      </c>
      <c r="E6" s="25"/>
    </row>
    <row r="7" spans="1:8" ht="46.8" x14ac:dyDescent="0.3">
      <c r="A7" s="22"/>
      <c r="B7" s="33"/>
      <c r="C7" s="23" t="s">
        <v>5</v>
      </c>
      <c r="D7" s="24"/>
      <c r="E7" s="25"/>
      <c r="G7" s="1"/>
    </row>
    <row r="8" spans="1:8" ht="31.2" x14ac:dyDescent="0.3">
      <c r="A8" s="22"/>
      <c r="B8" s="33"/>
      <c r="C8" s="23" t="s">
        <v>6</v>
      </c>
      <c r="D8" s="24"/>
      <c r="E8" s="25"/>
      <c r="F8" s="2"/>
    </row>
    <row r="9" spans="1:8" ht="35.4" customHeight="1" x14ac:dyDescent="0.3">
      <c r="A9" s="22"/>
      <c r="B9" s="33"/>
      <c r="C9" s="23" t="s">
        <v>7</v>
      </c>
      <c r="D9" s="24"/>
      <c r="E9" s="25"/>
    </row>
    <row r="10" spans="1:8" ht="63.6" customHeight="1" x14ac:dyDescent="0.3">
      <c r="A10" s="22"/>
      <c r="B10" s="33"/>
      <c r="C10" s="23" t="s">
        <v>8</v>
      </c>
      <c r="D10" s="24"/>
      <c r="E10" s="25"/>
      <c r="F10" s="2"/>
    </row>
    <row r="11" spans="1:8" ht="46.8" x14ac:dyDescent="0.3">
      <c r="A11" s="22"/>
      <c r="B11" s="33"/>
      <c r="C11" s="23" t="s">
        <v>9</v>
      </c>
      <c r="D11" s="24"/>
      <c r="E11" s="25"/>
      <c r="G11" s="1"/>
    </row>
    <row r="12" spans="1:8" ht="64.2" customHeight="1" x14ac:dyDescent="0.3">
      <c r="A12" s="22"/>
      <c r="B12" s="33"/>
      <c r="C12" s="23" t="s">
        <v>10</v>
      </c>
      <c r="D12" s="24"/>
      <c r="E12" s="25"/>
    </row>
    <row r="13" spans="1:8" ht="33" customHeight="1" x14ac:dyDescent="0.3">
      <c r="A13" s="22"/>
      <c r="B13" s="33"/>
      <c r="C13" s="23" t="s">
        <v>11</v>
      </c>
      <c r="D13" s="24"/>
      <c r="E13" s="25"/>
    </row>
    <row r="14" spans="1:8" ht="61.8" customHeight="1" x14ac:dyDescent="0.3">
      <c r="A14" s="22"/>
      <c r="B14" s="33"/>
      <c r="C14" s="23" t="s">
        <v>278</v>
      </c>
      <c r="D14" s="24"/>
      <c r="E14" s="25"/>
    </row>
    <row r="15" spans="1:8" x14ac:dyDescent="0.3">
      <c r="A15" s="22"/>
      <c r="B15" s="33"/>
      <c r="C15" s="23" t="s">
        <v>18</v>
      </c>
      <c r="D15" s="24">
        <f>1/2*D6</f>
        <v>209517.8082</v>
      </c>
      <c r="E15" s="25"/>
    </row>
    <row r="16" spans="1:8" x14ac:dyDescent="0.3">
      <c r="A16" s="22"/>
      <c r="B16" s="33"/>
      <c r="C16" s="22"/>
      <c r="D16" s="24"/>
      <c r="E16" s="25"/>
    </row>
    <row r="17" spans="1:5" ht="31.2" x14ac:dyDescent="0.3">
      <c r="A17" s="26">
        <v>45148</v>
      </c>
      <c r="B17" s="33" t="s">
        <v>247</v>
      </c>
      <c r="C17" s="10" t="s">
        <v>17</v>
      </c>
      <c r="D17" s="24"/>
      <c r="E17" s="25"/>
    </row>
    <row r="18" spans="1:5" ht="46.8" customHeight="1" x14ac:dyDescent="0.3">
      <c r="A18" s="22"/>
      <c r="B18" s="33"/>
      <c r="C18" s="11" t="s">
        <v>224</v>
      </c>
      <c r="D18" s="24">
        <f>120000+2%*(20000000-6222803)</f>
        <v>395543.94</v>
      </c>
      <c r="E18" s="25"/>
    </row>
    <row r="19" spans="1:5" x14ac:dyDescent="0.3">
      <c r="A19" s="22"/>
      <c r="B19" s="33"/>
      <c r="C19" s="22" t="s">
        <v>12</v>
      </c>
      <c r="D19" s="24"/>
      <c r="E19" s="25"/>
    </row>
    <row r="20" spans="1:5" ht="46.8" x14ac:dyDescent="0.3">
      <c r="A20" s="22"/>
      <c r="B20" s="33"/>
      <c r="C20" s="23" t="s">
        <v>14</v>
      </c>
      <c r="D20" s="24"/>
      <c r="E20" s="25"/>
    </row>
    <row r="21" spans="1:5" ht="93.6" x14ac:dyDescent="0.3">
      <c r="A21" s="22"/>
      <c r="B21" s="33"/>
      <c r="C21" s="23" t="s">
        <v>13</v>
      </c>
      <c r="D21" s="24"/>
      <c r="E21" s="25"/>
    </row>
    <row r="22" spans="1:5" ht="62.4" x14ac:dyDescent="0.3">
      <c r="A22" s="22"/>
      <c r="B22" s="33"/>
      <c r="C22" s="23" t="s">
        <v>15</v>
      </c>
      <c r="D22" s="24"/>
      <c r="E22" s="25"/>
    </row>
    <row r="23" spans="1:5" ht="31.2" x14ac:dyDescent="0.3">
      <c r="A23" s="22"/>
      <c r="B23" s="33"/>
      <c r="C23" s="23" t="s">
        <v>16</v>
      </c>
      <c r="D23" s="24"/>
      <c r="E23" s="25"/>
    </row>
    <row r="24" spans="1:5" x14ac:dyDescent="0.3">
      <c r="A24" s="22"/>
      <c r="B24" s="33"/>
      <c r="C24" s="23" t="s">
        <v>18</v>
      </c>
      <c r="D24" s="24">
        <f>1/2*D18</f>
        <v>197771.97</v>
      </c>
      <c r="E24" s="25"/>
    </row>
    <row r="25" spans="1:5" x14ac:dyDescent="0.3">
      <c r="A25" s="22"/>
      <c r="B25" s="33"/>
      <c r="C25" s="22"/>
      <c r="D25" s="24"/>
      <c r="E25" s="25"/>
    </row>
    <row r="26" spans="1:5" x14ac:dyDescent="0.3">
      <c r="A26" s="22"/>
      <c r="B26" s="33" t="s">
        <v>242</v>
      </c>
      <c r="C26" s="12" t="s">
        <v>19</v>
      </c>
      <c r="D26" s="24"/>
      <c r="E26" s="25"/>
    </row>
    <row r="27" spans="1:5" x14ac:dyDescent="0.3">
      <c r="A27" s="22"/>
      <c r="B27" s="33" t="s">
        <v>245</v>
      </c>
      <c r="C27" s="12" t="s">
        <v>20</v>
      </c>
      <c r="D27" s="24"/>
      <c r="E27" s="25"/>
    </row>
    <row r="28" spans="1:5" x14ac:dyDescent="0.3">
      <c r="A28" s="26">
        <v>45127</v>
      </c>
      <c r="B28" s="33">
        <v>1</v>
      </c>
      <c r="C28" s="22" t="s">
        <v>21</v>
      </c>
      <c r="D28" s="24">
        <f>1100+(150*13)</f>
        <v>3050</v>
      </c>
      <c r="E28" s="25"/>
    </row>
    <row r="29" spans="1:5" x14ac:dyDescent="0.3">
      <c r="A29" s="26">
        <v>45127</v>
      </c>
      <c r="B29" s="33">
        <v>2</v>
      </c>
      <c r="C29" s="22" t="s">
        <v>22</v>
      </c>
      <c r="D29" s="24">
        <v>1100</v>
      </c>
      <c r="E29" s="25"/>
    </row>
    <row r="30" spans="1:5" ht="17.399999999999999" customHeight="1" x14ac:dyDescent="0.3">
      <c r="A30" s="26">
        <v>45162</v>
      </c>
      <c r="B30" s="33">
        <v>3</v>
      </c>
      <c r="C30" s="23" t="s">
        <v>47</v>
      </c>
      <c r="D30" s="24">
        <f>1100+(150*17)</f>
        <v>3650</v>
      </c>
      <c r="E30" s="25"/>
    </row>
    <row r="31" spans="1:5" x14ac:dyDescent="0.3">
      <c r="A31" s="26">
        <v>45211</v>
      </c>
      <c r="B31" s="33">
        <v>4</v>
      </c>
      <c r="C31" s="23" t="s">
        <v>36</v>
      </c>
      <c r="D31" s="24">
        <v>1100</v>
      </c>
      <c r="E31" s="25"/>
    </row>
    <row r="32" spans="1:5" x14ac:dyDescent="0.3">
      <c r="A32" s="26">
        <v>45224</v>
      </c>
      <c r="B32" s="33">
        <v>5</v>
      </c>
      <c r="C32" s="23" t="s">
        <v>44</v>
      </c>
      <c r="D32" s="24">
        <f>1100+(150*3)</f>
        <v>1550</v>
      </c>
      <c r="E32" s="25"/>
    </row>
    <row r="33" spans="1:5" ht="31.2" x14ac:dyDescent="0.3">
      <c r="A33" s="26">
        <v>45303</v>
      </c>
      <c r="B33" s="33">
        <v>6</v>
      </c>
      <c r="C33" s="23" t="s">
        <v>49</v>
      </c>
      <c r="D33" s="24">
        <f>1100+(150*14)</f>
        <v>3200</v>
      </c>
      <c r="E33" s="25"/>
    </row>
    <row r="34" spans="1:5" ht="35.4" customHeight="1" x14ac:dyDescent="0.3">
      <c r="A34" s="26">
        <v>45309</v>
      </c>
      <c r="B34" s="33">
        <v>7</v>
      </c>
      <c r="C34" s="23" t="s">
        <v>51</v>
      </c>
      <c r="D34" s="24">
        <f>1100+(150*27)</f>
        <v>5150</v>
      </c>
      <c r="E34" s="25"/>
    </row>
    <row r="35" spans="1:5" ht="31.2" x14ac:dyDescent="0.3">
      <c r="A35" s="26">
        <v>45309</v>
      </c>
      <c r="B35" s="33">
        <v>8</v>
      </c>
      <c r="C35" s="23" t="s">
        <v>52</v>
      </c>
      <c r="D35" s="24">
        <v>1100</v>
      </c>
      <c r="E35" s="25"/>
    </row>
    <row r="36" spans="1:5" ht="34.799999999999997" customHeight="1" x14ac:dyDescent="0.3">
      <c r="A36" s="26">
        <v>45491</v>
      </c>
      <c r="B36" s="33">
        <v>9</v>
      </c>
      <c r="C36" s="23" t="s">
        <v>55</v>
      </c>
      <c r="D36" s="24">
        <v>1100</v>
      </c>
      <c r="E36" s="25"/>
    </row>
    <row r="37" spans="1:5" x14ac:dyDescent="0.3">
      <c r="A37" s="26">
        <v>45588</v>
      </c>
      <c r="B37" s="33">
        <v>10</v>
      </c>
      <c r="C37" s="22" t="s">
        <v>23</v>
      </c>
      <c r="D37" s="24">
        <f>1100+(150*250)</f>
        <v>38600</v>
      </c>
      <c r="E37" s="25"/>
    </row>
    <row r="38" spans="1:5" x14ac:dyDescent="0.3">
      <c r="A38" s="26">
        <v>45588</v>
      </c>
      <c r="B38" s="33">
        <v>11</v>
      </c>
      <c r="C38" s="22" t="s">
        <v>24</v>
      </c>
      <c r="D38" s="24">
        <v>1100</v>
      </c>
      <c r="E38" s="25"/>
    </row>
    <row r="39" spans="1:5" x14ac:dyDescent="0.3">
      <c r="A39" s="26">
        <v>45706</v>
      </c>
      <c r="B39" s="33">
        <v>12</v>
      </c>
      <c r="C39" s="22" t="s">
        <v>25</v>
      </c>
      <c r="D39" s="24">
        <f>1100+(150*66)</f>
        <v>11000</v>
      </c>
      <c r="E39" s="25"/>
    </row>
    <row r="40" spans="1:5" x14ac:dyDescent="0.3">
      <c r="A40" s="26">
        <v>45706</v>
      </c>
      <c r="B40" s="33">
        <v>13</v>
      </c>
      <c r="C40" s="22" t="s">
        <v>26</v>
      </c>
      <c r="D40" s="24">
        <v>1100</v>
      </c>
      <c r="E40" s="25"/>
    </row>
    <row r="41" spans="1:5" x14ac:dyDescent="0.3">
      <c r="A41" s="26"/>
      <c r="B41" s="33"/>
      <c r="C41" s="22"/>
      <c r="D41" s="24"/>
      <c r="E41" s="25"/>
    </row>
    <row r="42" spans="1:5" x14ac:dyDescent="0.3">
      <c r="A42" s="22"/>
      <c r="B42" s="33"/>
      <c r="C42" s="22"/>
      <c r="D42" s="24"/>
      <c r="E42" s="25"/>
    </row>
    <row r="43" spans="1:5" ht="31.2" x14ac:dyDescent="0.3">
      <c r="A43" s="22"/>
      <c r="B43" s="31" t="s">
        <v>243</v>
      </c>
      <c r="C43" s="12" t="s">
        <v>30</v>
      </c>
      <c r="D43" s="24"/>
      <c r="E43" s="25"/>
    </row>
    <row r="44" spans="1:5" ht="31.2" x14ac:dyDescent="0.3">
      <c r="A44" s="26">
        <v>45112</v>
      </c>
      <c r="B44" s="33">
        <v>14</v>
      </c>
      <c r="C44" s="23" t="s">
        <v>31</v>
      </c>
      <c r="D44" s="24">
        <v>1000</v>
      </c>
      <c r="E44" s="25"/>
    </row>
    <row r="45" spans="1:5" ht="31.2" x14ac:dyDescent="0.3">
      <c r="A45" s="26">
        <v>45112</v>
      </c>
      <c r="B45" s="33">
        <v>15</v>
      </c>
      <c r="C45" s="23" t="s">
        <v>32</v>
      </c>
      <c r="D45" s="24">
        <v>1000</v>
      </c>
      <c r="E45" s="25"/>
    </row>
    <row r="46" spans="1:5" ht="31.2" x14ac:dyDescent="0.3">
      <c r="A46" s="26">
        <v>45120</v>
      </c>
      <c r="B46" s="33">
        <v>16</v>
      </c>
      <c r="C46" s="23" t="s">
        <v>33</v>
      </c>
      <c r="D46" s="24">
        <v>1000</v>
      </c>
      <c r="E46" s="25"/>
    </row>
    <row r="47" spans="1:5" ht="31.2" x14ac:dyDescent="0.3">
      <c r="A47" s="26">
        <v>45127</v>
      </c>
      <c r="B47" s="33">
        <v>17</v>
      </c>
      <c r="C47" s="23" t="s">
        <v>34</v>
      </c>
      <c r="D47" s="24">
        <v>1000</v>
      </c>
      <c r="E47" s="25"/>
    </row>
    <row r="48" spans="1:5" ht="31.2" x14ac:dyDescent="0.3">
      <c r="A48" s="26">
        <v>45132</v>
      </c>
      <c r="B48" s="33">
        <v>18</v>
      </c>
      <c r="C48" s="23" t="s">
        <v>35</v>
      </c>
      <c r="D48" s="24">
        <v>1000</v>
      </c>
      <c r="E48" s="25"/>
    </row>
    <row r="49" spans="1:5" ht="31.2" x14ac:dyDescent="0.3">
      <c r="A49" s="26">
        <v>45162</v>
      </c>
      <c r="B49" s="33">
        <v>19</v>
      </c>
      <c r="C49" s="23" t="s">
        <v>46</v>
      </c>
      <c r="D49" s="24">
        <v>1000</v>
      </c>
      <c r="E49" s="25"/>
    </row>
    <row r="50" spans="1:5" ht="31.2" x14ac:dyDescent="0.3">
      <c r="A50" s="26">
        <v>45196</v>
      </c>
      <c r="B50" s="33">
        <v>20</v>
      </c>
      <c r="C50" s="23" t="s">
        <v>40</v>
      </c>
      <c r="D50" s="24">
        <v>1000</v>
      </c>
      <c r="E50" s="25"/>
    </row>
    <row r="51" spans="1:5" ht="31.2" x14ac:dyDescent="0.3">
      <c r="A51" s="26">
        <v>45182</v>
      </c>
      <c r="B51" s="33">
        <v>21</v>
      </c>
      <c r="C51" s="23" t="s">
        <v>39</v>
      </c>
      <c r="D51" s="24">
        <v>1000</v>
      </c>
      <c r="E51" s="25"/>
    </row>
    <row r="52" spans="1:5" ht="31.2" x14ac:dyDescent="0.3">
      <c r="A52" s="26">
        <v>45195</v>
      </c>
      <c r="B52" s="33">
        <v>22</v>
      </c>
      <c r="C52" s="23" t="s">
        <v>38</v>
      </c>
      <c r="D52" s="24">
        <v>1000</v>
      </c>
      <c r="E52" s="25"/>
    </row>
    <row r="53" spans="1:5" ht="31.2" x14ac:dyDescent="0.3">
      <c r="A53" s="26">
        <v>45211</v>
      </c>
      <c r="B53" s="33">
        <v>23</v>
      </c>
      <c r="C53" s="23" t="s">
        <v>37</v>
      </c>
      <c r="D53" s="24">
        <v>1000</v>
      </c>
      <c r="E53" s="25"/>
    </row>
    <row r="54" spans="1:5" ht="31.2" x14ac:dyDescent="0.3">
      <c r="A54" s="26">
        <v>45211</v>
      </c>
      <c r="B54" s="33">
        <v>24</v>
      </c>
      <c r="C54" s="23" t="s">
        <v>41</v>
      </c>
      <c r="D54" s="24">
        <v>1000</v>
      </c>
      <c r="E54" s="25"/>
    </row>
    <row r="55" spans="1:5" ht="35.4" customHeight="1" x14ac:dyDescent="0.3">
      <c r="A55" s="26">
        <v>45222</v>
      </c>
      <c r="B55" s="33">
        <v>25</v>
      </c>
      <c r="C55" s="23" t="s">
        <v>43</v>
      </c>
      <c r="D55" s="24">
        <v>1000</v>
      </c>
      <c r="E55" s="25"/>
    </row>
    <row r="56" spans="1:5" ht="35.4" customHeight="1" x14ac:dyDescent="0.3">
      <c r="A56" s="26">
        <v>45224</v>
      </c>
      <c r="B56" s="33">
        <v>26</v>
      </c>
      <c r="C56" s="23" t="s">
        <v>42</v>
      </c>
      <c r="D56" s="24">
        <v>1000</v>
      </c>
      <c r="E56" s="25"/>
    </row>
    <row r="57" spans="1:5" ht="31.2" x14ac:dyDescent="0.3">
      <c r="A57" s="26">
        <v>45230</v>
      </c>
      <c r="B57" s="33">
        <v>27</v>
      </c>
      <c r="C57" s="23" t="s">
        <v>45</v>
      </c>
      <c r="D57" s="24">
        <v>1000</v>
      </c>
      <c r="E57" s="25"/>
    </row>
    <row r="58" spans="1:5" ht="31.2" x14ac:dyDescent="0.3">
      <c r="A58" s="26">
        <v>45265</v>
      </c>
      <c r="B58" s="33">
        <v>28</v>
      </c>
      <c r="C58" s="23" t="s">
        <v>48</v>
      </c>
      <c r="D58" s="24">
        <v>1000</v>
      </c>
      <c r="E58" s="25"/>
    </row>
    <row r="59" spans="1:5" ht="31.2" x14ac:dyDescent="0.3">
      <c r="A59" s="26">
        <v>45303</v>
      </c>
      <c r="B59" s="33">
        <v>29</v>
      </c>
      <c r="C59" s="23" t="s">
        <v>50</v>
      </c>
      <c r="D59" s="24">
        <v>1000</v>
      </c>
      <c r="E59" s="25"/>
    </row>
    <row r="60" spans="1:5" ht="51.6" customHeight="1" x14ac:dyDescent="0.3">
      <c r="A60" s="26">
        <v>45309</v>
      </c>
      <c r="B60" s="33">
        <v>30</v>
      </c>
      <c r="C60" s="23" t="s">
        <v>53</v>
      </c>
      <c r="D60" s="24">
        <v>1000</v>
      </c>
      <c r="E60" s="25"/>
    </row>
    <row r="61" spans="1:5" x14ac:dyDescent="0.3">
      <c r="A61" s="26">
        <v>45359</v>
      </c>
      <c r="B61" s="33">
        <v>31</v>
      </c>
      <c r="C61" s="23" t="s">
        <v>54</v>
      </c>
      <c r="D61" s="24">
        <v>1000</v>
      </c>
      <c r="E61" s="25"/>
    </row>
    <row r="62" spans="1:5" ht="31.2" x14ac:dyDescent="0.3">
      <c r="A62" s="26">
        <v>45400</v>
      </c>
      <c r="B62" s="33">
        <v>32</v>
      </c>
      <c r="C62" s="23" t="s">
        <v>56</v>
      </c>
      <c r="D62" s="24">
        <v>1000</v>
      </c>
      <c r="E62" s="25"/>
    </row>
    <row r="63" spans="1:5" x14ac:dyDescent="0.3">
      <c r="A63" s="26">
        <v>45504</v>
      </c>
      <c r="B63" s="33">
        <v>33</v>
      </c>
      <c r="C63" s="23" t="s">
        <v>57</v>
      </c>
      <c r="D63" s="24">
        <v>1000</v>
      </c>
      <c r="E63" s="25"/>
    </row>
    <row r="64" spans="1:5" ht="31.2" x14ac:dyDescent="0.3">
      <c r="A64" s="26">
        <v>45523</v>
      </c>
      <c r="B64" s="33">
        <v>34</v>
      </c>
      <c r="C64" s="23" t="s">
        <v>58</v>
      </c>
      <c r="D64" s="24">
        <v>1000</v>
      </c>
      <c r="E64" s="25"/>
    </row>
    <row r="65" spans="1:5" x14ac:dyDescent="0.3">
      <c r="A65" s="26">
        <v>45527</v>
      </c>
      <c r="B65" s="33">
        <v>35</v>
      </c>
      <c r="C65" s="23" t="s">
        <v>59</v>
      </c>
      <c r="D65" s="24">
        <v>1000</v>
      </c>
      <c r="E65" s="25"/>
    </row>
    <row r="66" spans="1:5" ht="32.4" customHeight="1" x14ac:dyDescent="0.3">
      <c r="A66" s="26">
        <v>45528</v>
      </c>
      <c r="B66" s="33">
        <v>36</v>
      </c>
      <c r="C66" s="23" t="s">
        <v>60</v>
      </c>
      <c r="D66" s="24">
        <v>1000</v>
      </c>
      <c r="E66" s="25"/>
    </row>
    <row r="67" spans="1:5" ht="31.2" x14ac:dyDescent="0.3">
      <c r="A67" s="26">
        <v>45531</v>
      </c>
      <c r="B67" s="33">
        <v>37</v>
      </c>
      <c r="C67" s="23" t="s">
        <v>61</v>
      </c>
      <c r="D67" s="24">
        <v>1000</v>
      </c>
      <c r="E67" s="25"/>
    </row>
    <row r="68" spans="1:5" ht="31.2" x14ac:dyDescent="0.3">
      <c r="A68" s="26">
        <v>45533</v>
      </c>
      <c r="B68" s="33">
        <v>38</v>
      </c>
      <c r="C68" s="23" t="s">
        <v>62</v>
      </c>
      <c r="D68" s="24">
        <v>1000</v>
      </c>
      <c r="E68" s="25"/>
    </row>
    <row r="69" spans="1:5" ht="18" customHeight="1" x14ac:dyDescent="0.3">
      <c r="A69" s="26">
        <v>45540</v>
      </c>
      <c r="B69" s="33">
        <v>39</v>
      </c>
      <c r="C69" s="23" t="s">
        <v>65</v>
      </c>
      <c r="D69" s="24">
        <v>1000</v>
      </c>
      <c r="E69" s="25"/>
    </row>
    <row r="70" spans="1:5" ht="31.2" x14ac:dyDescent="0.3">
      <c r="A70" s="26">
        <v>45565</v>
      </c>
      <c r="B70" s="33">
        <v>40</v>
      </c>
      <c r="C70" s="23" t="s">
        <v>63</v>
      </c>
      <c r="D70" s="24">
        <v>1000</v>
      </c>
      <c r="E70" s="25"/>
    </row>
    <row r="71" spans="1:5" ht="31.2" x14ac:dyDescent="0.3">
      <c r="A71" s="26">
        <v>45579</v>
      </c>
      <c r="B71" s="33">
        <v>41</v>
      </c>
      <c r="C71" s="23" t="s">
        <v>64</v>
      </c>
      <c r="D71" s="24">
        <v>1000</v>
      </c>
      <c r="E71" s="25"/>
    </row>
    <row r="72" spans="1:5" ht="31.2" x14ac:dyDescent="0.3">
      <c r="A72" s="26">
        <v>45588</v>
      </c>
      <c r="B72" s="33">
        <v>42</v>
      </c>
      <c r="C72" s="11" t="s">
        <v>66</v>
      </c>
      <c r="D72" s="24">
        <v>1000</v>
      </c>
      <c r="E72" s="25"/>
    </row>
    <row r="73" spans="1:5" ht="31.2" x14ac:dyDescent="0.3">
      <c r="A73" s="26">
        <v>45616</v>
      </c>
      <c r="B73" s="33">
        <v>43</v>
      </c>
      <c r="C73" s="11" t="s">
        <v>67</v>
      </c>
      <c r="D73" s="24">
        <v>1000</v>
      </c>
      <c r="E73" s="25"/>
    </row>
    <row r="74" spans="1:5" ht="31.2" x14ac:dyDescent="0.3">
      <c r="A74" s="26">
        <v>45636</v>
      </c>
      <c r="B74" s="33">
        <v>44</v>
      </c>
      <c r="C74" s="23" t="s">
        <v>68</v>
      </c>
      <c r="D74" s="24">
        <v>1000</v>
      </c>
      <c r="E74" s="25"/>
    </row>
    <row r="75" spans="1:5" ht="31.2" x14ac:dyDescent="0.3">
      <c r="A75" s="26">
        <v>45698</v>
      </c>
      <c r="B75" s="33">
        <v>45</v>
      </c>
      <c r="C75" s="23" t="s">
        <v>69</v>
      </c>
      <c r="D75" s="24">
        <v>1000</v>
      </c>
      <c r="E75" s="25"/>
    </row>
    <row r="76" spans="1:5" ht="31.2" x14ac:dyDescent="0.3">
      <c r="A76" s="26">
        <v>45700</v>
      </c>
      <c r="B76" s="33">
        <v>46</v>
      </c>
      <c r="C76" s="23" t="s">
        <v>70</v>
      </c>
      <c r="D76" s="24">
        <v>1000</v>
      </c>
      <c r="E76" s="25"/>
    </row>
    <row r="77" spans="1:5" ht="31.2" x14ac:dyDescent="0.3">
      <c r="A77" s="26">
        <v>45706</v>
      </c>
      <c r="B77" s="33">
        <v>47</v>
      </c>
      <c r="C77" s="23" t="s">
        <v>71</v>
      </c>
      <c r="D77" s="24">
        <v>1000</v>
      </c>
      <c r="E77" s="25"/>
    </row>
    <row r="78" spans="1:5" ht="34.200000000000003" customHeight="1" x14ac:dyDescent="0.3">
      <c r="A78" s="26">
        <v>45715</v>
      </c>
      <c r="B78" s="33">
        <v>48</v>
      </c>
      <c r="C78" s="23" t="s">
        <v>72</v>
      </c>
      <c r="D78" s="24">
        <v>1000</v>
      </c>
      <c r="E78" s="25"/>
    </row>
    <row r="79" spans="1:5" x14ac:dyDescent="0.3">
      <c r="A79" s="26">
        <v>45715</v>
      </c>
      <c r="B79" s="33">
        <v>49</v>
      </c>
      <c r="C79" s="23" t="s">
        <v>73</v>
      </c>
      <c r="D79" s="24">
        <v>1000</v>
      </c>
      <c r="E79" s="25"/>
    </row>
    <row r="80" spans="1:5" ht="31.2" x14ac:dyDescent="0.3">
      <c r="A80" s="26">
        <v>45769</v>
      </c>
      <c r="B80" s="33">
        <v>50</v>
      </c>
      <c r="C80" s="23" t="s">
        <v>74</v>
      </c>
      <c r="D80" s="24">
        <v>1000</v>
      </c>
      <c r="E80" s="25"/>
    </row>
    <row r="81" spans="1:5" ht="31.2" x14ac:dyDescent="0.3">
      <c r="A81" s="26">
        <v>45867</v>
      </c>
      <c r="B81" s="33">
        <v>51</v>
      </c>
      <c r="C81" s="23" t="s">
        <v>75</v>
      </c>
      <c r="D81" s="24">
        <v>1000</v>
      </c>
      <c r="E81" s="25"/>
    </row>
    <row r="82" spans="1:5" ht="22.2" customHeight="1" x14ac:dyDescent="0.3">
      <c r="A82" s="26">
        <v>45909</v>
      </c>
      <c r="B82" s="33">
        <v>52</v>
      </c>
      <c r="C82" s="23" t="s">
        <v>76</v>
      </c>
      <c r="D82" s="24">
        <v>1000</v>
      </c>
      <c r="E82" s="25"/>
    </row>
    <row r="83" spans="1:5" ht="31.2" x14ac:dyDescent="0.3">
      <c r="A83" s="26">
        <v>45912</v>
      </c>
      <c r="B83" s="33">
        <v>53</v>
      </c>
      <c r="C83" s="23" t="s">
        <v>77</v>
      </c>
      <c r="D83" s="24">
        <v>1000</v>
      </c>
      <c r="E83" s="25"/>
    </row>
    <row r="84" spans="1:5" ht="31.2" x14ac:dyDescent="0.3">
      <c r="A84" s="26">
        <v>45932</v>
      </c>
      <c r="B84" s="33">
        <v>54</v>
      </c>
      <c r="C84" s="23" t="s">
        <v>78</v>
      </c>
      <c r="D84" s="24">
        <v>1000</v>
      </c>
      <c r="E84" s="25"/>
    </row>
    <row r="85" spans="1:5" ht="31.2" x14ac:dyDescent="0.3">
      <c r="A85" s="26">
        <v>45933</v>
      </c>
      <c r="B85" s="33">
        <v>55</v>
      </c>
      <c r="C85" s="23" t="s">
        <v>79</v>
      </c>
      <c r="D85" s="24">
        <v>1000</v>
      </c>
      <c r="E85" s="25"/>
    </row>
    <row r="86" spans="1:5" ht="21.6" customHeight="1" x14ac:dyDescent="0.3">
      <c r="A86" s="26">
        <v>45944</v>
      </c>
      <c r="B86" s="33">
        <v>56</v>
      </c>
      <c r="C86" s="23" t="s">
        <v>80</v>
      </c>
      <c r="D86" s="24">
        <v>1000</v>
      </c>
      <c r="E86" s="25"/>
    </row>
    <row r="87" spans="1:5" x14ac:dyDescent="0.3">
      <c r="A87" s="22"/>
      <c r="B87" s="33"/>
      <c r="C87" s="12"/>
      <c r="D87" s="24"/>
      <c r="E87" s="25"/>
    </row>
    <row r="88" spans="1:5" x14ac:dyDescent="0.3">
      <c r="A88" s="22"/>
      <c r="B88" s="33"/>
      <c r="C88" s="12"/>
      <c r="D88" s="24"/>
      <c r="E88" s="25"/>
    </row>
    <row r="89" spans="1:5" ht="31.2" x14ac:dyDescent="0.3">
      <c r="A89" s="22"/>
      <c r="B89" s="31" t="s">
        <v>244</v>
      </c>
      <c r="C89" s="12" t="s">
        <v>81</v>
      </c>
      <c r="D89" s="24"/>
      <c r="E89" s="25"/>
    </row>
    <row r="90" spans="1:5" x14ac:dyDescent="0.3">
      <c r="A90" s="22"/>
      <c r="B90" s="31" t="s">
        <v>248</v>
      </c>
      <c r="C90" s="13" t="s">
        <v>27</v>
      </c>
      <c r="D90" s="24"/>
      <c r="E90" s="25"/>
    </row>
    <row r="91" spans="1:5" ht="21" customHeight="1" x14ac:dyDescent="0.3">
      <c r="A91" s="26">
        <v>45093</v>
      </c>
      <c r="B91" s="33">
        <v>57</v>
      </c>
      <c r="C91" s="23" t="s">
        <v>225</v>
      </c>
      <c r="D91" s="24">
        <v>50</v>
      </c>
      <c r="E91" s="25"/>
    </row>
    <row r="92" spans="1:5" x14ac:dyDescent="0.3">
      <c r="A92" s="26">
        <v>45097</v>
      </c>
      <c r="B92" s="33">
        <v>58</v>
      </c>
      <c r="C92" s="27" t="s">
        <v>226</v>
      </c>
      <c r="D92" s="24">
        <v>50</v>
      </c>
      <c r="E92" s="25"/>
    </row>
    <row r="93" spans="1:5" x14ac:dyDescent="0.3">
      <c r="A93" s="26">
        <v>45132</v>
      </c>
      <c r="B93" s="33">
        <v>59</v>
      </c>
      <c r="C93" s="23" t="s">
        <v>227</v>
      </c>
      <c r="D93" s="24">
        <v>50</v>
      </c>
      <c r="E93" s="25"/>
    </row>
    <row r="94" spans="1:5" ht="18" customHeight="1" x14ac:dyDescent="0.3">
      <c r="A94" s="26">
        <v>45148</v>
      </c>
      <c r="B94" s="33">
        <v>60</v>
      </c>
      <c r="C94" s="23" t="s">
        <v>82</v>
      </c>
      <c r="D94" s="24">
        <f>50*18</f>
        <v>900</v>
      </c>
      <c r="E94" s="25"/>
    </row>
    <row r="95" spans="1:5" x14ac:dyDescent="0.3">
      <c r="A95" s="26">
        <v>45148</v>
      </c>
      <c r="B95" s="33">
        <v>61</v>
      </c>
      <c r="C95" s="23" t="s">
        <v>83</v>
      </c>
      <c r="D95" s="24">
        <f>50*45</f>
        <v>2250</v>
      </c>
      <c r="E95" s="25"/>
    </row>
    <row r="96" spans="1:5" ht="46.8" x14ac:dyDescent="0.3">
      <c r="A96" s="26">
        <v>45148</v>
      </c>
      <c r="B96" s="33">
        <v>62</v>
      </c>
      <c r="C96" s="23" t="s">
        <v>85</v>
      </c>
      <c r="D96" s="24">
        <v>50</v>
      </c>
      <c r="E96" s="25"/>
    </row>
    <row r="97" spans="1:5" ht="35.4" customHeight="1" x14ac:dyDescent="0.3">
      <c r="A97" s="26">
        <v>45880</v>
      </c>
      <c r="B97" s="33">
        <v>63</v>
      </c>
      <c r="C97" s="23" t="s">
        <v>84</v>
      </c>
      <c r="D97" s="24">
        <v>50</v>
      </c>
      <c r="E97" s="25"/>
    </row>
    <row r="98" spans="1:5" ht="35.4" customHeight="1" x14ac:dyDescent="0.3">
      <c r="A98" s="26">
        <v>45162</v>
      </c>
      <c r="B98" s="33">
        <v>64</v>
      </c>
      <c r="C98" s="23" t="s">
        <v>228</v>
      </c>
      <c r="D98" s="24">
        <v>50</v>
      </c>
      <c r="E98" s="25"/>
    </row>
    <row r="99" spans="1:5" ht="31.2" x14ac:dyDescent="0.3">
      <c r="A99" s="26">
        <v>45182</v>
      </c>
      <c r="B99" s="33">
        <v>65</v>
      </c>
      <c r="C99" s="23" t="s">
        <v>86</v>
      </c>
      <c r="D99" s="24">
        <v>50</v>
      </c>
      <c r="E99" s="25"/>
    </row>
    <row r="100" spans="1:5" x14ac:dyDescent="0.3">
      <c r="A100" s="26">
        <v>45194</v>
      </c>
      <c r="B100" s="33">
        <v>66</v>
      </c>
      <c r="C100" s="23" t="s">
        <v>87</v>
      </c>
      <c r="D100" s="24">
        <v>50</v>
      </c>
      <c r="E100" s="25"/>
    </row>
    <row r="101" spans="1:5" ht="31.2" x14ac:dyDescent="0.3">
      <c r="A101" s="26">
        <v>45208</v>
      </c>
      <c r="B101" s="33">
        <v>67</v>
      </c>
      <c r="C101" s="23" t="s">
        <v>88</v>
      </c>
      <c r="D101" s="24">
        <v>50</v>
      </c>
      <c r="E101" s="25"/>
    </row>
    <row r="102" spans="1:5" x14ac:dyDescent="0.3">
      <c r="A102" s="26">
        <v>45212</v>
      </c>
      <c r="B102" s="33">
        <v>68</v>
      </c>
      <c r="C102" s="23" t="s">
        <v>89</v>
      </c>
      <c r="D102" s="24">
        <f>50*5</f>
        <v>250</v>
      </c>
      <c r="E102" s="25"/>
    </row>
    <row r="103" spans="1:5" ht="31.8" customHeight="1" x14ac:dyDescent="0.3">
      <c r="A103" s="26">
        <v>45212</v>
      </c>
      <c r="B103" s="33">
        <v>69</v>
      </c>
      <c r="C103" s="23" t="s">
        <v>229</v>
      </c>
      <c r="D103" s="24">
        <v>50</v>
      </c>
      <c r="E103" s="25"/>
    </row>
    <row r="104" spans="1:5" ht="31.2" x14ac:dyDescent="0.3">
      <c r="A104" s="26">
        <v>45230</v>
      </c>
      <c r="B104" s="33">
        <v>70</v>
      </c>
      <c r="C104" s="23" t="s">
        <v>92</v>
      </c>
      <c r="D104" s="24">
        <v>50</v>
      </c>
      <c r="E104" s="25"/>
    </row>
    <row r="105" spans="1:5" ht="31.2" x14ac:dyDescent="0.3">
      <c r="A105" s="26">
        <v>45230</v>
      </c>
      <c r="B105" s="33">
        <v>71</v>
      </c>
      <c r="C105" s="23" t="s">
        <v>91</v>
      </c>
      <c r="D105" s="24">
        <v>50</v>
      </c>
      <c r="E105" s="25"/>
    </row>
    <row r="106" spans="1:5" ht="31.2" x14ac:dyDescent="0.3">
      <c r="A106" s="26">
        <v>45240</v>
      </c>
      <c r="B106" s="33">
        <v>72</v>
      </c>
      <c r="C106" s="23" t="s">
        <v>93</v>
      </c>
      <c r="D106" s="24">
        <v>50</v>
      </c>
      <c r="E106" s="25"/>
    </row>
    <row r="107" spans="1:5" x14ac:dyDescent="0.3">
      <c r="A107" s="26">
        <v>45241</v>
      </c>
      <c r="B107" s="33">
        <v>73</v>
      </c>
      <c r="C107" s="23" t="s">
        <v>90</v>
      </c>
      <c r="D107" s="24">
        <f>50*11</f>
        <v>550</v>
      </c>
      <c r="E107" s="25"/>
    </row>
    <row r="108" spans="1:5" ht="31.8" customHeight="1" x14ac:dyDescent="0.3">
      <c r="A108" s="26">
        <v>45252</v>
      </c>
      <c r="B108" s="33">
        <v>74</v>
      </c>
      <c r="C108" s="23" t="s">
        <v>98</v>
      </c>
      <c r="D108" s="24">
        <v>50</v>
      </c>
      <c r="E108" s="25"/>
    </row>
    <row r="109" spans="1:5" x14ac:dyDescent="0.3">
      <c r="A109" s="26">
        <v>45304</v>
      </c>
      <c r="B109" s="33">
        <v>75</v>
      </c>
      <c r="C109" s="23" t="s">
        <v>97</v>
      </c>
      <c r="D109" s="24">
        <v>50</v>
      </c>
      <c r="E109" s="25"/>
    </row>
    <row r="110" spans="1:5" ht="46.8" x14ac:dyDescent="0.3">
      <c r="A110" s="26">
        <v>45306</v>
      </c>
      <c r="B110" s="33">
        <v>76</v>
      </c>
      <c r="C110" s="23" t="s">
        <v>94</v>
      </c>
      <c r="D110" s="24">
        <f>50*10</f>
        <v>500</v>
      </c>
      <c r="E110" s="25"/>
    </row>
    <row r="111" spans="1:5" ht="17.399999999999999" customHeight="1" x14ac:dyDescent="0.3">
      <c r="A111" s="26">
        <v>45306</v>
      </c>
      <c r="B111" s="33">
        <v>77</v>
      </c>
      <c r="C111" s="23" t="s">
        <v>95</v>
      </c>
      <c r="D111" s="24">
        <v>50</v>
      </c>
      <c r="E111" s="25"/>
    </row>
    <row r="112" spans="1:5" ht="31.2" x14ac:dyDescent="0.3">
      <c r="A112" s="26">
        <v>45320</v>
      </c>
      <c r="B112" s="33">
        <v>78</v>
      </c>
      <c r="C112" s="23" t="s">
        <v>96</v>
      </c>
      <c r="D112" s="24">
        <v>50</v>
      </c>
      <c r="E112" s="25"/>
    </row>
    <row r="113" spans="1:5" ht="31.2" x14ac:dyDescent="0.3">
      <c r="A113" s="26">
        <v>45341</v>
      </c>
      <c r="B113" s="33">
        <v>79</v>
      </c>
      <c r="C113" s="23" t="s">
        <v>99</v>
      </c>
      <c r="D113" s="24">
        <v>50</v>
      </c>
      <c r="E113" s="25"/>
    </row>
    <row r="114" spans="1:5" ht="31.2" x14ac:dyDescent="0.3">
      <c r="A114" s="26">
        <v>45358</v>
      </c>
      <c r="B114" s="33">
        <v>80</v>
      </c>
      <c r="C114" s="23" t="s">
        <v>100</v>
      </c>
      <c r="D114" s="24">
        <v>50</v>
      </c>
      <c r="E114" s="25"/>
    </row>
    <row r="115" spans="1:5" ht="31.2" x14ac:dyDescent="0.3">
      <c r="A115" s="26">
        <v>45478</v>
      </c>
      <c r="B115" s="33">
        <v>81</v>
      </c>
      <c r="C115" s="23" t="s">
        <v>101</v>
      </c>
      <c r="D115" s="24">
        <f>50*32</f>
        <v>1600</v>
      </c>
      <c r="E115" s="25"/>
    </row>
    <row r="116" spans="1:5" ht="31.2" x14ac:dyDescent="0.3">
      <c r="A116" s="26">
        <v>45478</v>
      </c>
      <c r="B116" s="33">
        <v>82</v>
      </c>
      <c r="C116" s="23" t="s">
        <v>102</v>
      </c>
      <c r="D116" s="24">
        <v>50</v>
      </c>
      <c r="E116" s="25"/>
    </row>
    <row r="117" spans="1:5" ht="31.2" x14ac:dyDescent="0.3">
      <c r="A117" s="26">
        <v>45504</v>
      </c>
      <c r="B117" s="33">
        <v>83</v>
      </c>
      <c r="C117" s="23" t="s">
        <v>104</v>
      </c>
      <c r="D117" s="24">
        <v>50</v>
      </c>
      <c r="E117" s="25"/>
    </row>
    <row r="118" spans="1:5" ht="31.2" x14ac:dyDescent="0.3">
      <c r="A118" s="26">
        <v>45523</v>
      </c>
      <c r="B118" s="33">
        <v>84</v>
      </c>
      <c r="C118" s="23" t="s">
        <v>105</v>
      </c>
      <c r="D118" s="24">
        <v>50</v>
      </c>
      <c r="E118" s="25"/>
    </row>
    <row r="119" spans="1:5" ht="31.2" x14ac:dyDescent="0.3">
      <c r="A119" s="26">
        <v>45527</v>
      </c>
      <c r="B119" s="33">
        <v>85</v>
      </c>
      <c r="C119" s="23" t="s">
        <v>106</v>
      </c>
      <c r="D119" s="24">
        <v>50</v>
      </c>
      <c r="E119" s="25"/>
    </row>
    <row r="120" spans="1:5" ht="31.2" x14ac:dyDescent="0.3">
      <c r="A120" s="26">
        <v>45533</v>
      </c>
      <c r="B120" s="33">
        <v>86</v>
      </c>
      <c r="C120" s="23" t="s">
        <v>103</v>
      </c>
      <c r="D120" s="24">
        <v>50</v>
      </c>
      <c r="E120" s="25"/>
    </row>
    <row r="121" spans="1:5" ht="31.2" x14ac:dyDescent="0.3">
      <c r="A121" s="26">
        <v>45566</v>
      </c>
      <c r="B121" s="33">
        <v>87</v>
      </c>
      <c r="C121" s="23" t="s">
        <v>107</v>
      </c>
      <c r="D121" s="24">
        <v>50</v>
      </c>
      <c r="E121" s="25"/>
    </row>
    <row r="122" spans="1:5" ht="46.8" x14ac:dyDescent="0.3">
      <c r="A122" s="26">
        <v>45588</v>
      </c>
      <c r="B122" s="33">
        <v>88</v>
      </c>
      <c r="C122" s="23" t="s">
        <v>108</v>
      </c>
      <c r="D122" s="24">
        <f>50*2</f>
        <v>100</v>
      </c>
      <c r="E122" s="25"/>
    </row>
    <row r="123" spans="1:5" x14ac:dyDescent="0.3">
      <c r="A123" s="26">
        <v>45589</v>
      </c>
      <c r="B123" s="33">
        <v>89</v>
      </c>
      <c r="C123" s="23" t="s">
        <v>109</v>
      </c>
      <c r="D123" s="24">
        <v>50</v>
      </c>
      <c r="E123" s="25"/>
    </row>
    <row r="124" spans="1:5" ht="31.2" x14ac:dyDescent="0.3">
      <c r="A124" s="26">
        <v>45616</v>
      </c>
      <c r="B124" s="33">
        <v>90</v>
      </c>
      <c r="C124" s="23" t="s">
        <v>110</v>
      </c>
      <c r="D124" s="24">
        <v>50</v>
      </c>
      <c r="E124" s="25"/>
    </row>
    <row r="125" spans="1:5" ht="31.2" x14ac:dyDescent="0.3">
      <c r="A125" s="26">
        <v>45996</v>
      </c>
      <c r="B125" s="33">
        <v>91</v>
      </c>
      <c r="C125" s="23" t="s">
        <v>111</v>
      </c>
      <c r="D125" s="24">
        <v>50</v>
      </c>
      <c r="E125" s="25"/>
    </row>
    <row r="126" spans="1:5" x14ac:dyDescent="0.3">
      <c r="A126" s="26">
        <v>45636</v>
      </c>
      <c r="B126" s="33">
        <v>92</v>
      </c>
      <c r="C126" s="23" t="s">
        <v>116</v>
      </c>
      <c r="D126" s="24">
        <f>50*120</f>
        <v>6000</v>
      </c>
      <c r="E126" s="25"/>
    </row>
    <row r="127" spans="1:5" ht="31.2" x14ac:dyDescent="0.3">
      <c r="A127" s="26">
        <v>45636</v>
      </c>
      <c r="B127" s="33">
        <v>93</v>
      </c>
      <c r="C127" s="23" t="s">
        <v>112</v>
      </c>
      <c r="D127" s="24">
        <v>50</v>
      </c>
      <c r="E127" s="25"/>
    </row>
    <row r="128" spans="1:5" ht="31.2" x14ac:dyDescent="0.3">
      <c r="A128" s="26">
        <v>45664</v>
      </c>
      <c r="B128" s="33">
        <v>94</v>
      </c>
      <c r="C128" s="23" t="s">
        <v>117</v>
      </c>
      <c r="D128" s="24">
        <f>50*330</f>
        <v>16500</v>
      </c>
      <c r="E128" s="25"/>
    </row>
    <row r="129" spans="1:5" ht="31.2" x14ac:dyDescent="0.3">
      <c r="A129" s="26">
        <v>45677</v>
      </c>
      <c r="B129" s="33">
        <v>95</v>
      </c>
      <c r="C129" s="23" t="s">
        <v>115</v>
      </c>
      <c r="D129" s="24">
        <v>50</v>
      </c>
      <c r="E129" s="25"/>
    </row>
    <row r="130" spans="1:5" ht="31.2" x14ac:dyDescent="0.3">
      <c r="A130" s="26">
        <v>45713</v>
      </c>
      <c r="B130" s="33">
        <v>96</v>
      </c>
      <c r="C130" s="23" t="s">
        <v>114</v>
      </c>
      <c r="D130" s="24">
        <v>50</v>
      </c>
      <c r="E130" s="25"/>
    </row>
    <row r="131" spans="1:5" ht="31.2" x14ac:dyDescent="0.3">
      <c r="A131" s="26">
        <v>45726</v>
      </c>
      <c r="B131" s="33">
        <v>97</v>
      </c>
      <c r="C131" s="23" t="s">
        <v>113</v>
      </c>
      <c r="D131" s="24">
        <v>50</v>
      </c>
      <c r="E131" s="25"/>
    </row>
    <row r="132" spans="1:5" ht="31.2" x14ac:dyDescent="0.3">
      <c r="A132" s="26">
        <v>45765</v>
      </c>
      <c r="B132" s="33">
        <v>98</v>
      </c>
      <c r="C132" s="23" t="s">
        <v>118</v>
      </c>
      <c r="D132" s="24">
        <v>50</v>
      </c>
      <c r="E132" s="25"/>
    </row>
    <row r="133" spans="1:5" ht="31.2" x14ac:dyDescent="0.3">
      <c r="A133" s="26">
        <v>45943</v>
      </c>
      <c r="B133" s="33">
        <v>99</v>
      </c>
      <c r="C133" s="23" t="s">
        <v>119</v>
      </c>
      <c r="D133" s="24">
        <v>50</v>
      </c>
      <c r="E133" s="25"/>
    </row>
    <row r="134" spans="1:5" x14ac:dyDescent="0.3">
      <c r="A134" s="22"/>
      <c r="B134" s="33"/>
      <c r="C134" s="22"/>
      <c r="D134" s="24"/>
      <c r="E134" s="25"/>
    </row>
    <row r="135" spans="1:5" x14ac:dyDescent="0.3">
      <c r="A135" s="22"/>
      <c r="B135" s="33"/>
      <c r="C135" s="22"/>
      <c r="D135" s="24"/>
      <c r="E135" s="25"/>
    </row>
    <row r="136" spans="1:5" x14ac:dyDescent="0.3">
      <c r="A136" s="22"/>
      <c r="B136" s="31" t="s">
        <v>249</v>
      </c>
      <c r="C136" s="12" t="s">
        <v>28</v>
      </c>
      <c r="D136" s="24"/>
      <c r="E136" s="25"/>
    </row>
    <row r="137" spans="1:5" x14ac:dyDescent="0.3">
      <c r="A137" s="26">
        <v>45093</v>
      </c>
      <c r="B137" s="33">
        <v>100</v>
      </c>
      <c r="C137" s="22" t="s">
        <v>120</v>
      </c>
      <c r="D137" s="24">
        <f>50*23</f>
        <v>1150</v>
      </c>
      <c r="E137" s="25"/>
    </row>
    <row r="138" spans="1:5" x14ac:dyDescent="0.3">
      <c r="A138" s="26">
        <v>45093</v>
      </c>
      <c r="B138" s="33">
        <v>101</v>
      </c>
      <c r="C138" s="22" t="s">
        <v>121</v>
      </c>
      <c r="D138" s="24">
        <f>50*3</f>
        <v>150</v>
      </c>
      <c r="E138" s="25"/>
    </row>
    <row r="139" spans="1:5" ht="31.2" x14ac:dyDescent="0.3">
      <c r="A139" s="26">
        <v>45093</v>
      </c>
      <c r="B139" s="33">
        <v>102</v>
      </c>
      <c r="C139" s="23" t="s">
        <v>122</v>
      </c>
      <c r="D139" s="24">
        <v>50</v>
      </c>
      <c r="E139" s="25"/>
    </row>
    <row r="140" spans="1:5" ht="33.6" customHeight="1" x14ac:dyDescent="0.3">
      <c r="A140" s="26">
        <v>45113</v>
      </c>
      <c r="B140" s="33">
        <v>103</v>
      </c>
      <c r="C140" s="23" t="s">
        <v>230</v>
      </c>
      <c r="D140" s="24">
        <v>50</v>
      </c>
      <c r="E140" s="25"/>
    </row>
    <row r="141" spans="1:5" ht="21" customHeight="1" x14ac:dyDescent="0.3">
      <c r="A141" s="26">
        <v>45120</v>
      </c>
      <c r="B141" s="33">
        <v>104</v>
      </c>
      <c r="C141" s="23" t="s">
        <v>231</v>
      </c>
      <c r="D141" s="24">
        <v>50</v>
      </c>
      <c r="E141" s="25"/>
    </row>
    <row r="142" spans="1:5" x14ac:dyDescent="0.3">
      <c r="A142" s="26">
        <v>45121</v>
      </c>
      <c r="B142" s="33">
        <v>105</v>
      </c>
      <c r="C142" s="22" t="s">
        <v>123</v>
      </c>
      <c r="D142" s="24">
        <f>50*4</f>
        <v>200</v>
      </c>
      <c r="E142" s="25"/>
    </row>
    <row r="143" spans="1:5" x14ac:dyDescent="0.3">
      <c r="A143" s="26">
        <v>45121</v>
      </c>
      <c r="B143" s="33">
        <v>106</v>
      </c>
      <c r="C143" s="23" t="s">
        <v>124</v>
      </c>
      <c r="D143" s="24">
        <v>50</v>
      </c>
      <c r="E143" s="25"/>
    </row>
    <row r="144" spans="1:5" ht="31.2" x14ac:dyDescent="0.3">
      <c r="A144" s="26">
        <v>45156</v>
      </c>
      <c r="B144" s="33">
        <v>107</v>
      </c>
      <c r="C144" s="23" t="s">
        <v>128</v>
      </c>
      <c r="D144" s="24">
        <v>50</v>
      </c>
      <c r="E144" s="25"/>
    </row>
    <row r="145" spans="1:5" x14ac:dyDescent="0.3">
      <c r="A145" s="26">
        <v>45182</v>
      </c>
      <c r="B145" s="33">
        <v>108</v>
      </c>
      <c r="C145" s="22" t="s">
        <v>125</v>
      </c>
      <c r="D145" s="24">
        <f>50*3</f>
        <v>150</v>
      </c>
      <c r="E145" s="25"/>
    </row>
    <row r="146" spans="1:5" x14ac:dyDescent="0.3">
      <c r="A146" s="26">
        <v>45182</v>
      </c>
      <c r="B146" s="33">
        <v>109</v>
      </c>
      <c r="C146" s="22" t="s">
        <v>126</v>
      </c>
      <c r="D146" s="24">
        <v>50</v>
      </c>
      <c r="E146" s="25"/>
    </row>
    <row r="147" spans="1:5" ht="31.2" x14ac:dyDescent="0.3">
      <c r="A147" s="26">
        <v>45196</v>
      </c>
      <c r="B147" s="33">
        <v>110</v>
      </c>
      <c r="C147" s="23" t="s">
        <v>127</v>
      </c>
      <c r="D147" s="24">
        <v>50</v>
      </c>
      <c r="E147" s="25"/>
    </row>
    <row r="148" spans="1:5" ht="31.2" x14ac:dyDescent="0.3">
      <c r="A148" s="26">
        <v>45208</v>
      </c>
      <c r="B148" s="33">
        <v>111</v>
      </c>
      <c r="C148" s="23" t="s">
        <v>129</v>
      </c>
      <c r="D148" s="24">
        <v>50</v>
      </c>
      <c r="E148" s="25"/>
    </row>
    <row r="149" spans="1:5" x14ac:dyDescent="0.3">
      <c r="A149" s="26">
        <v>45215</v>
      </c>
      <c r="B149" s="33">
        <v>112</v>
      </c>
      <c r="C149" s="23" t="s">
        <v>130</v>
      </c>
      <c r="D149" s="24">
        <f>50*5</f>
        <v>250</v>
      </c>
      <c r="E149" s="25"/>
    </row>
    <row r="150" spans="1:5" ht="20.399999999999999" customHeight="1" x14ac:dyDescent="0.3">
      <c r="A150" s="26">
        <v>45215</v>
      </c>
      <c r="B150" s="33">
        <v>113</v>
      </c>
      <c r="C150" s="23" t="s">
        <v>131</v>
      </c>
      <c r="D150" s="24">
        <f>50*3</f>
        <v>150</v>
      </c>
      <c r="E150" s="25"/>
    </row>
    <row r="151" spans="1:5" ht="31.2" x14ac:dyDescent="0.3">
      <c r="A151" s="26">
        <v>45215</v>
      </c>
      <c r="B151" s="33">
        <v>114</v>
      </c>
      <c r="C151" s="23" t="s">
        <v>132</v>
      </c>
      <c r="D151" s="24">
        <v>50</v>
      </c>
      <c r="E151" s="25"/>
    </row>
    <row r="152" spans="1:5" ht="31.2" x14ac:dyDescent="0.3">
      <c r="A152" s="26">
        <v>45222</v>
      </c>
      <c r="B152" s="33">
        <v>115</v>
      </c>
      <c r="C152" s="23" t="s">
        <v>232</v>
      </c>
      <c r="D152" s="24">
        <v>50</v>
      </c>
      <c r="E152" s="25"/>
    </row>
    <row r="153" spans="1:5" ht="31.2" x14ac:dyDescent="0.3">
      <c r="A153" s="26">
        <v>45229</v>
      </c>
      <c r="B153" s="33">
        <v>116</v>
      </c>
      <c r="C153" s="23" t="s">
        <v>133</v>
      </c>
      <c r="D153" s="24">
        <v>50</v>
      </c>
      <c r="E153" s="25"/>
    </row>
    <row r="154" spans="1:5" ht="46.8" x14ac:dyDescent="0.3">
      <c r="A154" s="26">
        <v>45230</v>
      </c>
      <c r="B154" s="33">
        <v>117</v>
      </c>
      <c r="C154" s="23" t="s">
        <v>135</v>
      </c>
      <c r="D154" s="24">
        <v>50</v>
      </c>
      <c r="E154" s="25"/>
    </row>
    <row r="155" spans="1:5" ht="22.2" customHeight="1" x14ac:dyDescent="0.3">
      <c r="A155" s="26">
        <v>45231</v>
      </c>
      <c r="B155" s="33">
        <v>118</v>
      </c>
      <c r="C155" s="23" t="s">
        <v>134</v>
      </c>
      <c r="D155" s="24">
        <v>50</v>
      </c>
      <c r="E155" s="25"/>
    </row>
    <row r="156" spans="1:5" ht="31.2" x14ac:dyDescent="0.3">
      <c r="A156" s="26">
        <v>45239</v>
      </c>
      <c r="B156" s="33">
        <v>119</v>
      </c>
      <c r="C156" s="23" t="s">
        <v>171</v>
      </c>
      <c r="D156" s="24">
        <v>50</v>
      </c>
      <c r="E156" s="25"/>
    </row>
    <row r="157" spans="1:5" ht="31.2" x14ac:dyDescent="0.3">
      <c r="A157" s="26">
        <v>45243</v>
      </c>
      <c r="B157" s="33">
        <v>120</v>
      </c>
      <c r="C157" s="23" t="s">
        <v>172</v>
      </c>
      <c r="D157" s="24">
        <v>50</v>
      </c>
      <c r="E157" s="25"/>
    </row>
    <row r="158" spans="1:5" ht="31.8" customHeight="1" x14ac:dyDescent="0.3">
      <c r="A158" s="26">
        <v>45303</v>
      </c>
      <c r="B158" s="33">
        <v>121</v>
      </c>
      <c r="C158" s="23" t="s">
        <v>174</v>
      </c>
      <c r="D158" s="24">
        <v>50</v>
      </c>
      <c r="E158" s="25"/>
    </row>
    <row r="159" spans="1:5" ht="19.2" customHeight="1" x14ac:dyDescent="0.3">
      <c r="A159" s="26">
        <v>45303</v>
      </c>
      <c r="B159" s="33">
        <v>122</v>
      </c>
      <c r="C159" s="23" t="s">
        <v>158</v>
      </c>
      <c r="D159" s="24">
        <v>50</v>
      </c>
      <c r="E159" s="25"/>
    </row>
    <row r="160" spans="1:5" ht="31.2" x14ac:dyDescent="0.3">
      <c r="A160" s="26">
        <v>45306</v>
      </c>
      <c r="B160" s="33">
        <v>123</v>
      </c>
      <c r="C160" s="23" t="s">
        <v>175</v>
      </c>
      <c r="D160" s="24">
        <v>50</v>
      </c>
      <c r="E160" s="25"/>
    </row>
    <row r="161" spans="1:5" ht="37.799999999999997" customHeight="1" x14ac:dyDescent="0.3">
      <c r="A161" s="26">
        <v>45310</v>
      </c>
      <c r="B161" s="33">
        <v>124</v>
      </c>
      <c r="C161" s="23" t="s">
        <v>176</v>
      </c>
      <c r="D161" s="24">
        <v>50</v>
      </c>
      <c r="E161" s="25"/>
    </row>
    <row r="162" spans="1:5" ht="46.8" x14ac:dyDescent="0.3">
      <c r="A162" s="26">
        <v>45320</v>
      </c>
      <c r="B162" s="33">
        <v>125</v>
      </c>
      <c r="C162" s="23" t="s">
        <v>136</v>
      </c>
      <c r="D162" s="24">
        <f>50*22</f>
        <v>1100</v>
      </c>
      <c r="E162" s="25"/>
    </row>
    <row r="163" spans="1:5" x14ac:dyDescent="0.3">
      <c r="A163" s="26">
        <v>45320</v>
      </c>
      <c r="B163" s="33">
        <v>126</v>
      </c>
      <c r="C163" s="23" t="s">
        <v>137</v>
      </c>
      <c r="D163" s="24">
        <v>50</v>
      </c>
      <c r="E163" s="25"/>
    </row>
    <row r="164" spans="1:5" ht="31.2" x14ac:dyDescent="0.3">
      <c r="A164" s="26">
        <v>45320</v>
      </c>
      <c r="B164" s="33">
        <v>127</v>
      </c>
      <c r="C164" s="23" t="s">
        <v>153</v>
      </c>
      <c r="D164" s="24">
        <v>50</v>
      </c>
      <c r="E164" s="25"/>
    </row>
    <row r="165" spans="1:5" x14ac:dyDescent="0.3">
      <c r="A165" s="26">
        <v>45341</v>
      </c>
      <c r="B165" s="33">
        <v>128</v>
      </c>
      <c r="C165" s="23" t="s">
        <v>148</v>
      </c>
      <c r="D165" s="24">
        <f>50*2</f>
        <v>100</v>
      </c>
      <c r="E165" s="25"/>
    </row>
    <row r="166" spans="1:5" ht="31.2" x14ac:dyDescent="0.3">
      <c r="A166" s="26">
        <v>45345</v>
      </c>
      <c r="B166" s="33">
        <v>129</v>
      </c>
      <c r="C166" s="23" t="s">
        <v>149</v>
      </c>
      <c r="D166" s="24">
        <v>50</v>
      </c>
      <c r="E166" s="25"/>
    </row>
    <row r="167" spans="1:5" x14ac:dyDescent="0.3">
      <c r="A167" s="26">
        <v>45346</v>
      </c>
      <c r="B167" s="33">
        <v>130</v>
      </c>
      <c r="C167" s="23" t="s">
        <v>180</v>
      </c>
      <c r="D167" s="24">
        <f>50*4</f>
        <v>200</v>
      </c>
      <c r="E167" s="25"/>
    </row>
    <row r="168" spans="1:5" x14ac:dyDescent="0.3">
      <c r="A168" s="26">
        <v>45346</v>
      </c>
      <c r="B168" s="33">
        <v>131</v>
      </c>
      <c r="C168" s="23" t="s">
        <v>177</v>
      </c>
      <c r="D168" s="24">
        <v>50</v>
      </c>
      <c r="E168" s="25"/>
    </row>
    <row r="169" spans="1:5" ht="31.2" x14ac:dyDescent="0.3">
      <c r="A169" s="26">
        <v>45357</v>
      </c>
      <c r="B169" s="33">
        <v>132</v>
      </c>
      <c r="C169" s="23" t="s">
        <v>150</v>
      </c>
      <c r="D169" s="24">
        <v>50</v>
      </c>
      <c r="E169" s="25"/>
    </row>
    <row r="170" spans="1:5" x14ac:dyDescent="0.3">
      <c r="A170" s="26">
        <v>45357</v>
      </c>
      <c r="B170" s="33">
        <v>133</v>
      </c>
      <c r="C170" s="23" t="s">
        <v>151</v>
      </c>
      <c r="D170" s="24">
        <f>50*2</f>
        <v>100</v>
      </c>
      <c r="E170" s="25"/>
    </row>
    <row r="171" spans="1:5" ht="31.2" x14ac:dyDescent="0.3">
      <c r="A171" s="26">
        <v>45359</v>
      </c>
      <c r="B171" s="33">
        <v>134</v>
      </c>
      <c r="C171" s="23" t="s">
        <v>152</v>
      </c>
      <c r="D171" s="24">
        <v>50</v>
      </c>
      <c r="E171" s="25"/>
    </row>
    <row r="172" spans="1:5" x14ac:dyDescent="0.3">
      <c r="A172" s="26">
        <v>45361</v>
      </c>
      <c r="B172" s="33">
        <v>135</v>
      </c>
      <c r="C172" s="23" t="s">
        <v>178</v>
      </c>
      <c r="D172" s="24">
        <f>50*4</f>
        <v>200</v>
      </c>
      <c r="E172" s="25"/>
    </row>
    <row r="173" spans="1:5" x14ac:dyDescent="0.3">
      <c r="A173" s="26">
        <v>45361</v>
      </c>
      <c r="B173" s="33">
        <v>136</v>
      </c>
      <c r="C173" s="23" t="s">
        <v>179</v>
      </c>
      <c r="D173" s="24">
        <v>50</v>
      </c>
      <c r="E173" s="25"/>
    </row>
    <row r="174" spans="1:5" ht="31.2" x14ac:dyDescent="0.3">
      <c r="A174" s="26">
        <v>45432</v>
      </c>
      <c r="B174" s="33">
        <v>137</v>
      </c>
      <c r="C174" s="23" t="s">
        <v>170</v>
      </c>
      <c r="D174" s="24">
        <v>50</v>
      </c>
      <c r="E174" s="25"/>
    </row>
    <row r="175" spans="1:5" x14ac:dyDescent="0.3">
      <c r="A175" s="26">
        <v>45447</v>
      </c>
      <c r="B175" s="33">
        <v>138</v>
      </c>
      <c r="C175" s="23" t="s">
        <v>159</v>
      </c>
      <c r="D175" s="24">
        <f>50*2</f>
        <v>100</v>
      </c>
      <c r="E175" s="25"/>
    </row>
    <row r="176" spans="1:5" x14ac:dyDescent="0.3">
      <c r="A176" s="26">
        <v>45448</v>
      </c>
      <c r="B176" s="33">
        <v>139</v>
      </c>
      <c r="C176" s="23" t="s">
        <v>160</v>
      </c>
      <c r="D176" s="24">
        <v>50</v>
      </c>
      <c r="E176" s="25"/>
    </row>
    <row r="177" spans="1:5" ht="21" customHeight="1" x14ac:dyDescent="0.3">
      <c r="A177" s="26" t="s">
        <v>157</v>
      </c>
      <c r="B177" s="33">
        <v>140</v>
      </c>
      <c r="C177" s="23" t="s">
        <v>161</v>
      </c>
      <c r="D177" s="24">
        <v>50</v>
      </c>
      <c r="E177" s="25"/>
    </row>
    <row r="178" spans="1:5" x14ac:dyDescent="0.3">
      <c r="A178" s="26">
        <v>45450</v>
      </c>
      <c r="B178" s="33">
        <v>141</v>
      </c>
      <c r="C178" s="23" t="s">
        <v>138</v>
      </c>
      <c r="D178" s="24">
        <f>50*4</f>
        <v>200</v>
      </c>
      <c r="E178" s="25"/>
    </row>
    <row r="179" spans="1:5" x14ac:dyDescent="0.3">
      <c r="A179" s="26">
        <v>45450</v>
      </c>
      <c r="B179" s="33">
        <v>142</v>
      </c>
      <c r="C179" s="23" t="s">
        <v>139</v>
      </c>
      <c r="D179" s="24">
        <v>50</v>
      </c>
      <c r="E179" s="25"/>
    </row>
    <row r="180" spans="1:5" x14ac:dyDescent="0.3">
      <c r="A180" s="26">
        <v>45474</v>
      </c>
      <c r="B180" s="33">
        <v>143</v>
      </c>
      <c r="C180" s="23" t="s">
        <v>140</v>
      </c>
      <c r="D180" s="24">
        <f>50*6</f>
        <v>300</v>
      </c>
      <c r="E180" s="25"/>
    </row>
    <row r="181" spans="1:5" x14ac:dyDescent="0.3">
      <c r="A181" s="26">
        <v>45474</v>
      </c>
      <c r="B181" s="33">
        <v>144</v>
      </c>
      <c r="C181" s="23" t="s">
        <v>141</v>
      </c>
      <c r="D181" s="24">
        <v>50</v>
      </c>
      <c r="E181" s="25"/>
    </row>
    <row r="182" spans="1:5" x14ac:dyDescent="0.3">
      <c r="A182" s="26">
        <v>45498</v>
      </c>
      <c r="B182" s="33">
        <v>145</v>
      </c>
      <c r="C182" s="23" t="s">
        <v>173</v>
      </c>
      <c r="D182" s="24">
        <v>50</v>
      </c>
      <c r="E182" s="25"/>
    </row>
    <row r="183" spans="1:5" x14ac:dyDescent="0.3">
      <c r="A183" s="26">
        <v>45503</v>
      </c>
      <c r="B183" s="33">
        <v>146</v>
      </c>
      <c r="C183" s="23" t="s">
        <v>181</v>
      </c>
      <c r="D183" s="24">
        <f>50*3</f>
        <v>150</v>
      </c>
      <c r="E183" s="25"/>
    </row>
    <row r="184" spans="1:5" x14ac:dyDescent="0.3">
      <c r="A184" s="26">
        <v>45516</v>
      </c>
      <c r="B184" s="33">
        <v>147</v>
      </c>
      <c r="C184" s="23" t="s">
        <v>142</v>
      </c>
      <c r="D184" s="24">
        <f>50*9</f>
        <v>450</v>
      </c>
      <c r="E184" s="25"/>
    </row>
    <row r="185" spans="1:5" x14ac:dyDescent="0.3">
      <c r="A185" s="26">
        <v>45516</v>
      </c>
      <c r="B185" s="33">
        <v>148</v>
      </c>
      <c r="C185" s="23" t="s">
        <v>143</v>
      </c>
      <c r="D185" s="24">
        <v>50</v>
      </c>
      <c r="E185" s="25"/>
    </row>
    <row r="186" spans="1:5" ht="31.2" x14ac:dyDescent="0.3">
      <c r="A186" s="26">
        <v>45516</v>
      </c>
      <c r="B186" s="33">
        <v>149</v>
      </c>
      <c r="C186" s="23" t="s">
        <v>154</v>
      </c>
      <c r="D186" s="24">
        <v>50</v>
      </c>
      <c r="E186" s="25"/>
    </row>
    <row r="187" spans="1:5" ht="31.2" x14ac:dyDescent="0.3">
      <c r="A187" s="26">
        <v>45525</v>
      </c>
      <c r="B187" s="33">
        <v>150</v>
      </c>
      <c r="C187" s="23" t="s">
        <v>182</v>
      </c>
      <c r="D187" s="24">
        <v>50</v>
      </c>
      <c r="E187" s="25"/>
    </row>
    <row r="188" spans="1:5" ht="31.2" x14ac:dyDescent="0.3">
      <c r="A188" s="26">
        <v>45527</v>
      </c>
      <c r="B188" s="33">
        <v>151</v>
      </c>
      <c r="C188" s="23" t="s">
        <v>183</v>
      </c>
      <c r="D188" s="24">
        <v>50</v>
      </c>
      <c r="E188" s="25"/>
    </row>
    <row r="189" spans="1:5" x14ac:dyDescent="0.3">
      <c r="A189" s="26">
        <v>45527</v>
      </c>
      <c r="B189" s="33">
        <v>152</v>
      </c>
      <c r="C189" s="23" t="s">
        <v>184</v>
      </c>
      <c r="D189" s="24">
        <v>50</v>
      </c>
      <c r="E189" s="25"/>
    </row>
    <row r="190" spans="1:5" x14ac:dyDescent="0.3">
      <c r="A190" s="26">
        <v>45530</v>
      </c>
      <c r="B190" s="33">
        <v>153</v>
      </c>
      <c r="C190" s="23" t="s">
        <v>144</v>
      </c>
      <c r="D190" s="24">
        <f>50*8</f>
        <v>400</v>
      </c>
      <c r="E190" s="25"/>
    </row>
    <row r="191" spans="1:5" ht="31.2" x14ac:dyDescent="0.3">
      <c r="A191" s="26">
        <v>45530</v>
      </c>
      <c r="B191" s="33">
        <v>154</v>
      </c>
      <c r="C191" s="23" t="s">
        <v>156</v>
      </c>
      <c r="D191" s="24">
        <v>50</v>
      </c>
      <c r="E191" s="25"/>
    </row>
    <row r="192" spans="1:5" ht="46.8" x14ac:dyDescent="0.3">
      <c r="A192" s="26">
        <v>45533</v>
      </c>
      <c r="B192" s="33">
        <v>155</v>
      </c>
      <c r="C192" s="23" t="s">
        <v>145</v>
      </c>
      <c r="D192" s="24">
        <v>50</v>
      </c>
      <c r="E192" s="25"/>
    </row>
    <row r="193" spans="1:5" x14ac:dyDescent="0.3">
      <c r="A193" s="26">
        <v>45544</v>
      </c>
      <c r="B193" s="33">
        <v>156</v>
      </c>
      <c r="C193" s="23" t="s">
        <v>146</v>
      </c>
      <c r="D193" s="24">
        <f>50*11</f>
        <v>550</v>
      </c>
      <c r="E193" s="25"/>
    </row>
    <row r="194" spans="1:5" x14ac:dyDescent="0.3">
      <c r="A194" s="26">
        <v>45544</v>
      </c>
      <c r="B194" s="33">
        <v>157</v>
      </c>
      <c r="C194" s="23" t="s">
        <v>147</v>
      </c>
      <c r="D194" s="24">
        <v>50</v>
      </c>
      <c r="E194" s="25"/>
    </row>
    <row r="195" spans="1:5" ht="31.2" x14ac:dyDescent="0.3">
      <c r="A195" s="26">
        <v>45544</v>
      </c>
      <c r="B195" s="33">
        <v>158</v>
      </c>
      <c r="C195" s="23" t="s">
        <v>155</v>
      </c>
      <c r="D195" s="24">
        <f>50*2</f>
        <v>100</v>
      </c>
      <c r="E195" s="25"/>
    </row>
    <row r="196" spans="1:5" ht="31.2" x14ac:dyDescent="0.3">
      <c r="A196" s="26">
        <v>45564</v>
      </c>
      <c r="B196" s="33">
        <v>159</v>
      </c>
      <c r="C196" s="23" t="s">
        <v>162</v>
      </c>
      <c r="D196" s="24">
        <v>50</v>
      </c>
      <c r="E196" s="25"/>
    </row>
    <row r="197" spans="1:5" ht="31.2" x14ac:dyDescent="0.3">
      <c r="A197" s="26">
        <v>45574</v>
      </c>
      <c r="B197" s="33">
        <v>160</v>
      </c>
      <c r="C197" s="23" t="s">
        <v>163</v>
      </c>
      <c r="D197" s="24">
        <v>50</v>
      </c>
      <c r="E197" s="25"/>
    </row>
    <row r="198" spans="1:5" ht="31.2" x14ac:dyDescent="0.3">
      <c r="A198" s="26">
        <v>45574</v>
      </c>
      <c r="B198" s="33">
        <v>161</v>
      </c>
      <c r="C198" s="23" t="s">
        <v>168</v>
      </c>
      <c r="D198" s="24">
        <v>50</v>
      </c>
      <c r="E198" s="25"/>
    </row>
    <row r="199" spans="1:5" x14ac:dyDescent="0.3">
      <c r="A199" s="26">
        <v>45574</v>
      </c>
      <c r="B199" s="33">
        <v>162</v>
      </c>
      <c r="C199" s="23" t="s">
        <v>167</v>
      </c>
      <c r="D199" s="24">
        <f>50*3</f>
        <v>150</v>
      </c>
      <c r="E199" s="25"/>
    </row>
    <row r="200" spans="1:5" x14ac:dyDescent="0.3">
      <c r="A200" s="26">
        <v>45578</v>
      </c>
      <c r="B200" s="33">
        <v>163</v>
      </c>
      <c r="C200" s="23" t="s">
        <v>169</v>
      </c>
      <c r="D200" s="24">
        <v>50</v>
      </c>
      <c r="E200" s="25"/>
    </row>
    <row r="201" spans="1:5" ht="31.2" customHeight="1" x14ac:dyDescent="0.3">
      <c r="A201" s="26">
        <v>45583</v>
      </c>
      <c r="B201" s="33">
        <v>164</v>
      </c>
      <c r="C201" s="23" t="s">
        <v>164</v>
      </c>
      <c r="D201" s="24">
        <v>50</v>
      </c>
      <c r="E201" s="25"/>
    </row>
    <row r="202" spans="1:5" x14ac:dyDescent="0.3">
      <c r="A202" s="26">
        <v>45588</v>
      </c>
      <c r="B202" s="33">
        <v>165</v>
      </c>
      <c r="C202" s="23" t="s">
        <v>187</v>
      </c>
      <c r="D202" s="24">
        <v>50</v>
      </c>
      <c r="E202" s="25"/>
    </row>
    <row r="203" spans="1:5" x14ac:dyDescent="0.3">
      <c r="A203" s="26">
        <v>45589</v>
      </c>
      <c r="B203" s="33">
        <v>166</v>
      </c>
      <c r="C203" s="23" t="s">
        <v>233</v>
      </c>
      <c r="D203" s="24">
        <f>50*304</f>
        <v>15200</v>
      </c>
      <c r="E203" s="25"/>
    </row>
    <row r="204" spans="1:5" x14ac:dyDescent="0.3">
      <c r="A204" s="26">
        <v>45589</v>
      </c>
      <c r="B204" s="33">
        <v>167</v>
      </c>
      <c r="C204" s="23" t="s">
        <v>188</v>
      </c>
      <c r="D204" s="24">
        <v>50</v>
      </c>
      <c r="E204" s="25"/>
    </row>
    <row r="205" spans="1:5" ht="18" customHeight="1" x14ac:dyDescent="0.3">
      <c r="A205" s="26">
        <v>45589</v>
      </c>
      <c r="B205" s="33">
        <v>168</v>
      </c>
      <c r="C205" s="23" t="s">
        <v>165</v>
      </c>
      <c r="D205" s="24">
        <v>50</v>
      </c>
      <c r="E205" s="25"/>
    </row>
    <row r="206" spans="1:5" ht="31.2" x14ac:dyDescent="0.3">
      <c r="A206" s="26">
        <v>45589</v>
      </c>
      <c r="B206" s="33">
        <v>169</v>
      </c>
      <c r="C206" s="23" t="s">
        <v>185</v>
      </c>
      <c r="D206" s="24">
        <v>50</v>
      </c>
      <c r="E206" s="25"/>
    </row>
    <row r="207" spans="1:5" ht="31.2" x14ac:dyDescent="0.3">
      <c r="A207" s="26">
        <v>45593</v>
      </c>
      <c r="B207" s="33">
        <v>170</v>
      </c>
      <c r="C207" s="23" t="s">
        <v>186</v>
      </c>
      <c r="D207" s="24">
        <v>50</v>
      </c>
      <c r="E207" s="25"/>
    </row>
    <row r="208" spans="1:5" x14ac:dyDescent="0.3">
      <c r="A208" s="26">
        <v>45611</v>
      </c>
      <c r="B208" s="33">
        <v>171</v>
      </c>
      <c r="C208" s="23" t="s">
        <v>189</v>
      </c>
      <c r="D208" s="24">
        <v>50</v>
      </c>
      <c r="E208" s="25"/>
    </row>
    <row r="209" spans="1:5" ht="31.2" x14ac:dyDescent="0.3">
      <c r="A209" s="26">
        <v>45615</v>
      </c>
      <c r="B209" s="33">
        <v>172</v>
      </c>
      <c r="C209" s="23" t="s">
        <v>190</v>
      </c>
      <c r="D209" s="24">
        <v>50</v>
      </c>
      <c r="E209" s="25"/>
    </row>
    <row r="210" spans="1:5" ht="31.2" x14ac:dyDescent="0.3">
      <c r="A210" s="26">
        <v>45618</v>
      </c>
      <c r="B210" s="33">
        <v>173</v>
      </c>
      <c r="C210" s="23" t="s">
        <v>191</v>
      </c>
      <c r="D210" s="24">
        <v>50</v>
      </c>
      <c r="E210" s="25"/>
    </row>
    <row r="211" spans="1:5" ht="31.2" x14ac:dyDescent="0.3">
      <c r="A211" s="26">
        <v>45618</v>
      </c>
      <c r="B211" s="33">
        <v>174</v>
      </c>
      <c r="C211" s="23" t="s">
        <v>166</v>
      </c>
      <c r="D211" s="24">
        <v>50</v>
      </c>
      <c r="E211" s="25"/>
    </row>
    <row r="212" spans="1:5" ht="31.2" x14ac:dyDescent="0.3">
      <c r="A212" s="26">
        <v>45631</v>
      </c>
      <c r="B212" s="33">
        <v>175</v>
      </c>
      <c r="C212" s="23" t="s">
        <v>192</v>
      </c>
      <c r="D212" s="24">
        <v>50</v>
      </c>
      <c r="E212" s="25"/>
    </row>
    <row r="213" spans="1:5" ht="31.2" x14ac:dyDescent="0.3">
      <c r="A213" s="26">
        <v>45635</v>
      </c>
      <c r="B213" s="33">
        <v>176</v>
      </c>
      <c r="C213" s="23" t="s">
        <v>193</v>
      </c>
      <c r="D213" s="24">
        <v>50</v>
      </c>
      <c r="E213" s="25"/>
    </row>
    <row r="214" spans="1:5" ht="16.2" customHeight="1" x14ac:dyDescent="0.3">
      <c r="A214" s="26">
        <v>45639</v>
      </c>
      <c r="B214" s="33">
        <v>177</v>
      </c>
      <c r="C214" s="23" t="s">
        <v>194</v>
      </c>
      <c r="D214" s="24">
        <v>50</v>
      </c>
      <c r="E214" s="25"/>
    </row>
    <row r="215" spans="1:5" ht="31.2" x14ac:dyDescent="0.3">
      <c r="A215" s="26">
        <v>45671</v>
      </c>
      <c r="B215" s="33">
        <v>178</v>
      </c>
      <c r="C215" s="23" t="s">
        <v>195</v>
      </c>
      <c r="D215" s="24">
        <v>50</v>
      </c>
      <c r="E215" s="25"/>
    </row>
    <row r="216" spans="1:5" ht="31.2" x14ac:dyDescent="0.3">
      <c r="A216" s="26">
        <v>45677</v>
      </c>
      <c r="B216" s="33">
        <v>179</v>
      </c>
      <c r="C216" s="23" t="s">
        <v>196</v>
      </c>
      <c r="D216" s="24">
        <v>50</v>
      </c>
      <c r="E216" s="25"/>
    </row>
    <row r="217" spans="1:5" x14ac:dyDescent="0.3">
      <c r="A217" s="26">
        <v>45677</v>
      </c>
      <c r="B217" s="33">
        <v>180</v>
      </c>
      <c r="C217" s="23" t="s">
        <v>197</v>
      </c>
      <c r="D217" s="24">
        <f>50*4</f>
        <v>200</v>
      </c>
      <c r="E217" s="25"/>
    </row>
    <row r="218" spans="1:5" x14ac:dyDescent="0.3">
      <c r="A218" s="26">
        <v>45677</v>
      </c>
      <c r="B218" s="33">
        <v>181</v>
      </c>
      <c r="C218" s="23" t="s">
        <v>198</v>
      </c>
      <c r="D218" s="24">
        <v>50</v>
      </c>
      <c r="E218" s="25"/>
    </row>
    <row r="219" spans="1:5" ht="31.2" x14ac:dyDescent="0.3">
      <c r="A219" s="26">
        <v>45699</v>
      </c>
      <c r="B219" s="33">
        <v>182</v>
      </c>
      <c r="C219" s="23" t="s">
        <v>199</v>
      </c>
      <c r="D219" s="24">
        <v>50</v>
      </c>
      <c r="E219" s="25"/>
    </row>
    <row r="220" spans="1:5" ht="31.2" x14ac:dyDescent="0.3">
      <c r="A220" s="26">
        <v>45706</v>
      </c>
      <c r="B220" s="33">
        <v>183</v>
      </c>
      <c r="C220" s="23" t="s">
        <v>200</v>
      </c>
      <c r="D220" s="24">
        <v>50</v>
      </c>
      <c r="E220" s="25"/>
    </row>
    <row r="221" spans="1:5" x14ac:dyDescent="0.3">
      <c r="A221" s="26">
        <v>45726</v>
      </c>
      <c r="B221" s="33">
        <v>184</v>
      </c>
      <c r="C221" s="23" t="s">
        <v>201</v>
      </c>
      <c r="D221" s="24">
        <v>50</v>
      </c>
      <c r="E221" s="25"/>
    </row>
    <row r="222" spans="1:5" x14ac:dyDescent="0.3">
      <c r="A222" s="26">
        <v>45726</v>
      </c>
      <c r="B222" s="33">
        <v>185</v>
      </c>
      <c r="C222" s="23" t="s">
        <v>202</v>
      </c>
      <c r="D222" s="24">
        <v>50</v>
      </c>
      <c r="E222" s="25"/>
    </row>
    <row r="223" spans="1:5" x14ac:dyDescent="0.3">
      <c r="A223" s="26">
        <v>45764</v>
      </c>
      <c r="B223" s="33">
        <v>186</v>
      </c>
      <c r="C223" s="23" t="s">
        <v>203</v>
      </c>
      <c r="D223" s="24">
        <v>50</v>
      </c>
      <c r="E223" s="25"/>
    </row>
    <row r="224" spans="1:5" ht="31.2" x14ac:dyDescent="0.3">
      <c r="A224" s="26">
        <v>45852</v>
      </c>
      <c r="B224" s="33">
        <v>187</v>
      </c>
      <c r="C224" s="23" t="s">
        <v>204</v>
      </c>
      <c r="D224" s="24">
        <v>50</v>
      </c>
      <c r="E224" s="25"/>
    </row>
    <row r="225" spans="1:5" x14ac:dyDescent="0.3">
      <c r="A225" s="26">
        <v>45867</v>
      </c>
      <c r="B225" s="33">
        <v>188</v>
      </c>
      <c r="C225" s="23" t="s">
        <v>205</v>
      </c>
      <c r="D225" s="24">
        <v>50</v>
      </c>
      <c r="E225" s="25"/>
    </row>
    <row r="226" spans="1:5" x14ac:dyDescent="0.3">
      <c r="A226" s="26">
        <v>45867</v>
      </c>
      <c r="B226" s="33">
        <v>189</v>
      </c>
      <c r="C226" s="23" t="s">
        <v>206</v>
      </c>
      <c r="D226" s="24">
        <f>50*4</f>
        <v>200</v>
      </c>
      <c r="E226" s="25"/>
    </row>
    <row r="227" spans="1:5" ht="20.399999999999999" customHeight="1" x14ac:dyDescent="0.3">
      <c r="A227" s="26">
        <v>45867</v>
      </c>
      <c r="B227" s="33">
        <v>190</v>
      </c>
      <c r="C227" s="23" t="s">
        <v>207</v>
      </c>
      <c r="D227" s="24">
        <f>50*2</f>
        <v>100</v>
      </c>
      <c r="E227" s="25"/>
    </row>
    <row r="228" spans="1:5" x14ac:dyDescent="0.3">
      <c r="A228" s="26">
        <v>45882</v>
      </c>
      <c r="B228" s="33">
        <v>191</v>
      </c>
      <c r="C228" s="23" t="s">
        <v>208</v>
      </c>
      <c r="D228" s="24">
        <v>50</v>
      </c>
      <c r="E228" s="25"/>
    </row>
    <row r="229" spans="1:5" x14ac:dyDescent="0.3">
      <c r="A229" s="26">
        <v>45903</v>
      </c>
      <c r="B229" s="33">
        <v>192</v>
      </c>
      <c r="C229" s="23" t="s">
        <v>209</v>
      </c>
      <c r="D229" s="24">
        <v>50</v>
      </c>
      <c r="E229" s="25"/>
    </row>
    <row r="230" spans="1:5" ht="16.8" customHeight="1" x14ac:dyDescent="0.3">
      <c r="A230" s="26">
        <v>45911</v>
      </c>
      <c r="B230" s="33">
        <v>193</v>
      </c>
      <c r="C230" s="23" t="s">
        <v>210</v>
      </c>
      <c r="D230" s="24">
        <v>50</v>
      </c>
      <c r="E230" s="25"/>
    </row>
    <row r="231" spans="1:5" ht="31.2" x14ac:dyDescent="0.3">
      <c r="A231" s="26">
        <v>45912</v>
      </c>
      <c r="B231" s="33">
        <v>194</v>
      </c>
      <c r="C231" s="23" t="s">
        <v>211</v>
      </c>
      <c r="D231" s="24">
        <v>50</v>
      </c>
      <c r="E231" s="25"/>
    </row>
    <row r="232" spans="1:5" ht="31.2" x14ac:dyDescent="0.3">
      <c r="A232" s="26">
        <v>45932</v>
      </c>
      <c r="B232" s="33">
        <v>195</v>
      </c>
      <c r="C232" s="23" t="s">
        <v>212</v>
      </c>
      <c r="D232" s="24">
        <v>50</v>
      </c>
      <c r="E232" s="25"/>
    </row>
    <row r="233" spans="1:5" ht="46.8" x14ac:dyDescent="0.3">
      <c r="A233" s="28" t="s">
        <v>213</v>
      </c>
      <c r="B233" s="43">
        <v>196</v>
      </c>
      <c r="C233" s="23" t="s">
        <v>214</v>
      </c>
      <c r="D233" s="24">
        <f>50*4</f>
        <v>200</v>
      </c>
      <c r="E233" s="25"/>
    </row>
    <row r="234" spans="1:5" x14ac:dyDescent="0.3">
      <c r="A234" s="26">
        <v>45943</v>
      </c>
      <c r="B234" s="33">
        <v>197</v>
      </c>
      <c r="C234" s="23" t="s">
        <v>215</v>
      </c>
      <c r="D234" s="24">
        <v>50</v>
      </c>
      <c r="E234" s="25"/>
    </row>
    <row r="235" spans="1:5" x14ac:dyDescent="0.3">
      <c r="A235" s="22"/>
      <c r="B235" s="33"/>
      <c r="C235" s="23"/>
      <c r="D235" s="24"/>
      <c r="E235" s="25"/>
    </row>
    <row r="236" spans="1:5" x14ac:dyDescent="0.3">
      <c r="A236" s="22"/>
      <c r="B236" s="31" t="s">
        <v>250</v>
      </c>
      <c r="C236" s="12" t="s">
        <v>29</v>
      </c>
      <c r="D236" s="24"/>
      <c r="E236" s="25"/>
    </row>
    <row r="237" spans="1:5" x14ac:dyDescent="0.3">
      <c r="A237" s="26">
        <v>45127</v>
      </c>
      <c r="B237" s="33"/>
      <c r="C237" s="22" t="s">
        <v>21</v>
      </c>
      <c r="D237" s="24">
        <f>25*17</f>
        <v>425</v>
      </c>
      <c r="E237" s="25"/>
    </row>
    <row r="238" spans="1:5" x14ac:dyDescent="0.3">
      <c r="A238" s="26">
        <v>45127</v>
      </c>
      <c r="B238" s="33">
        <v>198</v>
      </c>
      <c r="C238" s="22" t="s">
        <v>22</v>
      </c>
      <c r="D238" s="24">
        <f>25*2</f>
        <v>50</v>
      </c>
      <c r="E238" s="25"/>
    </row>
    <row r="239" spans="1:5" ht="21" customHeight="1" x14ac:dyDescent="0.3">
      <c r="A239" s="26">
        <v>45162</v>
      </c>
      <c r="B239" s="33">
        <v>199</v>
      </c>
      <c r="C239" s="23" t="s">
        <v>47</v>
      </c>
      <c r="D239" s="24"/>
      <c r="E239" s="25"/>
    </row>
    <row r="240" spans="1:5" x14ac:dyDescent="0.3">
      <c r="A240" s="26">
        <v>45211</v>
      </c>
      <c r="B240" s="33">
        <v>200</v>
      </c>
      <c r="C240" s="23" t="s">
        <v>36</v>
      </c>
      <c r="D240" s="24">
        <f>25*2</f>
        <v>50</v>
      </c>
      <c r="E240" s="25"/>
    </row>
    <row r="241" spans="1:5" x14ac:dyDescent="0.3">
      <c r="A241" s="26">
        <v>45224</v>
      </c>
      <c r="B241" s="33">
        <v>201</v>
      </c>
      <c r="C241" s="23" t="s">
        <v>44</v>
      </c>
      <c r="D241" s="24">
        <f>25*7</f>
        <v>175</v>
      </c>
      <c r="E241" s="25"/>
    </row>
    <row r="242" spans="1:5" ht="31.2" x14ac:dyDescent="0.3">
      <c r="A242" s="26">
        <v>45303</v>
      </c>
      <c r="B242" s="33">
        <v>202</v>
      </c>
      <c r="C242" s="23" t="s">
        <v>49</v>
      </c>
      <c r="D242" s="24">
        <f>25*18</f>
        <v>450</v>
      </c>
      <c r="E242" s="25"/>
    </row>
    <row r="243" spans="1:5" ht="34.200000000000003" customHeight="1" x14ac:dyDescent="0.3">
      <c r="A243" s="26">
        <v>45309</v>
      </c>
      <c r="B243" s="33">
        <v>203</v>
      </c>
      <c r="C243" s="23" t="s">
        <v>51</v>
      </c>
      <c r="D243" s="24">
        <f>25*31</f>
        <v>775</v>
      </c>
      <c r="E243" s="25"/>
    </row>
    <row r="244" spans="1:5" ht="31.2" x14ac:dyDescent="0.3">
      <c r="A244" s="26">
        <v>45309</v>
      </c>
      <c r="B244" s="33">
        <v>204</v>
      </c>
      <c r="C244" s="23" t="s">
        <v>52</v>
      </c>
      <c r="D244" s="24">
        <v>25</v>
      </c>
      <c r="E244" s="25"/>
    </row>
    <row r="245" spans="1:5" ht="34.799999999999997" customHeight="1" x14ac:dyDescent="0.3">
      <c r="A245" s="26">
        <v>45491</v>
      </c>
      <c r="B245" s="33">
        <v>205</v>
      </c>
      <c r="C245" s="23" t="s">
        <v>55</v>
      </c>
      <c r="D245" s="24">
        <f>25*4</f>
        <v>100</v>
      </c>
      <c r="E245" s="25"/>
    </row>
    <row r="246" spans="1:5" x14ac:dyDescent="0.3">
      <c r="A246" s="26">
        <v>45588</v>
      </c>
      <c r="B246" s="33">
        <v>206</v>
      </c>
      <c r="C246" s="22" t="s">
        <v>23</v>
      </c>
      <c r="D246" s="24">
        <f>25*254.7</f>
        <v>6367.5</v>
      </c>
      <c r="E246" s="25"/>
    </row>
    <row r="247" spans="1:5" x14ac:dyDescent="0.3">
      <c r="A247" s="26">
        <v>45588</v>
      </c>
      <c r="B247" s="33">
        <v>207</v>
      </c>
      <c r="C247" s="22" t="s">
        <v>24</v>
      </c>
      <c r="D247" s="24">
        <f>25*3</f>
        <v>75</v>
      </c>
      <c r="E247" s="25"/>
    </row>
    <row r="248" spans="1:5" x14ac:dyDescent="0.3">
      <c r="A248" s="26">
        <v>45706</v>
      </c>
      <c r="B248" s="33">
        <v>208</v>
      </c>
      <c r="C248" s="22" t="s">
        <v>25</v>
      </c>
      <c r="D248" s="24">
        <f>25*70</f>
        <v>1750</v>
      </c>
      <c r="E248" s="25"/>
    </row>
    <row r="249" spans="1:5" x14ac:dyDescent="0.3">
      <c r="A249" s="26">
        <v>45706</v>
      </c>
      <c r="B249" s="33">
        <v>209</v>
      </c>
      <c r="C249" s="22" t="s">
        <v>26</v>
      </c>
      <c r="D249" s="24">
        <f>25*2</f>
        <v>50</v>
      </c>
      <c r="E249" s="25"/>
    </row>
    <row r="250" spans="1:5" x14ac:dyDescent="0.3">
      <c r="A250" s="26">
        <v>45148</v>
      </c>
      <c r="B250" s="33">
        <v>210</v>
      </c>
      <c r="C250" s="23" t="s">
        <v>82</v>
      </c>
      <c r="D250" s="24">
        <f>25*18</f>
        <v>450</v>
      </c>
      <c r="E250" s="25"/>
    </row>
    <row r="251" spans="1:5" x14ac:dyDescent="0.3">
      <c r="A251" s="26">
        <v>45148</v>
      </c>
      <c r="B251" s="33">
        <v>211</v>
      </c>
      <c r="C251" s="23" t="s">
        <v>83</v>
      </c>
      <c r="D251" s="24">
        <f>25*45</f>
        <v>1125</v>
      </c>
      <c r="E251" s="25"/>
    </row>
    <row r="252" spans="1:5" x14ac:dyDescent="0.3">
      <c r="A252" s="26">
        <v>45212</v>
      </c>
      <c r="B252" s="33">
        <v>212</v>
      </c>
      <c r="C252" s="23" t="s">
        <v>89</v>
      </c>
      <c r="D252" s="24">
        <f>25*5</f>
        <v>125</v>
      </c>
      <c r="E252" s="25"/>
    </row>
    <row r="253" spans="1:5" x14ac:dyDescent="0.3">
      <c r="A253" s="26">
        <v>45241</v>
      </c>
      <c r="B253" s="33">
        <v>213</v>
      </c>
      <c r="C253" s="23" t="s">
        <v>90</v>
      </c>
      <c r="D253" s="24">
        <f>25*11</f>
        <v>275</v>
      </c>
      <c r="E253" s="25"/>
    </row>
    <row r="254" spans="1:5" ht="46.8" x14ac:dyDescent="0.3">
      <c r="A254" s="26">
        <v>45306</v>
      </c>
      <c r="B254" s="33">
        <v>214</v>
      </c>
      <c r="C254" s="23" t="s">
        <v>94</v>
      </c>
      <c r="D254" s="24">
        <f>25*10</f>
        <v>250</v>
      </c>
      <c r="E254" s="25"/>
    </row>
    <row r="255" spans="1:5" ht="31.2" x14ac:dyDescent="0.3">
      <c r="A255" s="26">
        <v>45478</v>
      </c>
      <c r="B255" s="33">
        <v>215</v>
      </c>
      <c r="C255" s="23" t="s">
        <v>101</v>
      </c>
      <c r="D255" s="24">
        <f>25*32</f>
        <v>800</v>
      </c>
      <c r="E255" s="25"/>
    </row>
    <row r="256" spans="1:5" x14ac:dyDescent="0.3">
      <c r="A256" s="26">
        <v>45636</v>
      </c>
      <c r="B256" s="33">
        <v>216</v>
      </c>
      <c r="C256" s="23" t="s">
        <v>116</v>
      </c>
      <c r="D256" s="24">
        <f>25*120</f>
        <v>3000</v>
      </c>
      <c r="E256" s="25"/>
    </row>
    <row r="257" spans="1:5" ht="31.2" x14ac:dyDescent="0.3">
      <c r="A257" s="26">
        <v>45664</v>
      </c>
      <c r="B257" s="33">
        <v>217</v>
      </c>
      <c r="C257" s="23" t="s">
        <v>117</v>
      </c>
      <c r="D257" s="24">
        <f>25*330</f>
        <v>8250</v>
      </c>
      <c r="E257" s="25"/>
    </row>
    <row r="258" spans="1:5" x14ac:dyDescent="0.3">
      <c r="A258" s="22"/>
      <c r="B258" s="33"/>
      <c r="C258" s="22"/>
      <c r="D258" s="24"/>
      <c r="E258" s="25"/>
    </row>
    <row r="259" spans="1:5" x14ac:dyDescent="0.3">
      <c r="A259" s="22"/>
      <c r="B259" s="31" t="s">
        <v>251</v>
      </c>
      <c r="C259" s="58" t="s">
        <v>234</v>
      </c>
      <c r="D259" s="24"/>
      <c r="E259" s="25"/>
    </row>
    <row r="260" spans="1:5" x14ac:dyDescent="0.3">
      <c r="A260" s="26">
        <v>45091</v>
      </c>
      <c r="B260" s="33">
        <v>218</v>
      </c>
      <c r="C260" s="59" t="s">
        <v>237</v>
      </c>
      <c r="D260" s="24">
        <v>2300</v>
      </c>
      <c r="E260" s="25"/>
    </row>
    <row r="261" spans="1:5" x14ac:dyDescent="0.3">
      <c r="A261" s="26">
        <v>45091</v>
      </c>
      <c r="B261" s="33">
        <v>219</v>
      </c>
      <c r="C261" s="22" t="s">
        <v>238</v>
      </c>
      <c r="D261" s="24">
        <v>1100</v>
      </c>
      <c r="E261" s="25"/>
    </row>
    <row r="262" spans="1:5" x14ac:dyDescent="0.3">
      <c r="A262" s="26">
        <v>45177</v>
      </c>
      <c r="B262" s="33">
        <v>220</v>
      </c>
      <c r="C262" s="22" t="s">
        <v>238</v>
      </c>
      <c r="D262" s="24">
        <v>1100</v>
      </c>
      <c r="E262" s="25"/>
    </row>
    <row r="263" spans="1:5" x14ac:dyDescent="0.3">
      <c r="A263" s="26">
        <v>45212</v>
      </c>
      <c r="B263" s="33">
        <v>221</v>
      </c>
      <c r="C263" s="22" t="s">
        <v>238</v>
      </c>
      <c r="D263" s="24">
        <v>1100</v>
      </c>
      <c r="E263" s="25"/>
    </row>
    <row r="264" spans="1:5" x14ac:dyDescent="0.3">
      <c r="A264" s="26">
        <v>45231</v>
      </c>
      <c r="B264" s="33">
        <v>222</v>
      </c>
      <c r="C264" s="22" t="s">
        <v>238</v>
      </c>
      <c r="D264" s="24">
        <v>1100</v>
      </c>
      <c r="E264" s="25"/>
    </row>
    <row r="265" spans="1:5" x14ac:dyDescent="0.3">
      <c r="A265" s="26">
        <v>45357</v>
      </c>
      <c r="B265" s="33">
        <v>223</v>
      </c>
      <c r="C265" s="59" t="s">
        <v>235</v>
      </c>
      <c r="D265" s="24">
        <v>10000</v>
      </c>
      <c r="E265" s="25"/>
    </row>
    <row r="266" spans="1:5" x14ac:dyDescent="0.3">
      <c r="A266" s="26">
        <v>45359</v>
      </c>
      <c r="B266" s="33">
        <v>224</v>
      </c>
      <c r="C266" s="59" t="s">
        <v>235</v>
      </c>
      <c r="D266" s="24">
        <v>10000</v>
      </c>
      <c r="E266" s="25"/>
    </row>
    <row r="267" spans="1:5" x14ac:dyDescent="0.3">
      <c r="A267" s="26">
        <v>45450</v>
      </c>
      <c r="B267" s="33">
        <v>225</v>
      </c>
      <c r="C267" s="59" t="s">
        <v>236</v>
      </c>
      <c r="D267" s="24">
        <v>5000</v>
      </c>
      <c r="E267" s="25"/>
    </row>
    <row r="268" spans="1:5" x14ac:dyDescent="0.3">
      <c r="A268" s="26">
        <v>45457</v>
      </c>
      <c r="B268" s="33">
        <v>226</v>
      </c>
      <c r="C268" s="59" t="s">
        <v>236</v>
      </c>
      <c r="D268" s="24">
        <v>5000</v>
      </c>
      <c r="E268" s="25"/>
    </row>
    <row r="269" spans="1:5" x14ac:dyDescent="0.3">
      <c r="A269" s="22"/>
      <c r="B269" s="33"/>
      <c r="C269" s="29"/>
      <c r="D269" s="24"/>
      <c r="E269" s="25"/>
    </row>
    <row r="270" spans="1:5" x14ac:dyDescent="0.3">
      <c r="A270" s="22"/>
      <c r="B270" s="33"/>
      <c r="C270" s="29"/>
      <c r="D270" s="24"/>
      <c r="E270" s="25"/>
    </row>
    <row r="271" spans="1:5" s="6" customFormat="1" x14ac:dyDescent="0.3">
      <c r="A271" s="30"/>
      <c r="B271" s="31" t="s">
        <v>252</v>
      </c>
      <c r="C271" s="32" t="s">
        <v>217</v>
      </c>
      <c r="D271" s="24"/>
      <c r="E271" s="25"/>
    </row>
    <row r="272" spans="1:5" s="6" customFormat="1" x14ac:dyDescent="0.3">
      <c r="A272" s="30"/>
      <c r="B272" s="33"/>
      <c r="C272" s="34" t="s">
        <v>218</v>
      </c>
      <c r="D272" s="24"/>
      <c r="E272" s="25"/>
    </row>
    <row r="273" spans="1:8" s="6" customFormat="1" ht="31.2" x14ac:dyDescent="0.3">
      <c r="A273" s="30"/>
      <c r="B273" s="33"/>
      <c r="C273" s="34" t="s">
        <v>279</v>
      </c>
      <c r="D273" s="24"/>
      <c r="E273" s="25"/>
    </row>
    <row r="274" spans="1:8" s="6" customFormat="1" x14ac:dyDescent="0.3">
      <c r="A274" s="30"/>
      <c r="B274" s="33"/>
      <c r="C274" s="34" t="s">
        <v>219</v>
      </c>
      <c r="D274" s="24"/>
      <c r="E274" s="25"/>
      <c r="H274" s="60"/>
    </row>
    <row r="275" spans="1:8" s="6" customFormat="1" ht="31.2" x14ac:dyDescent="0.3">
      <c r="A275" s="30"/>
      <c r="B275" s="33"/>
      <c r="C275" s="34" t="s">
        <v>220</v>
      </c>
      <c r="D275" s="24"/>
      <c r="E275" s="25"/>
    </row>
    <row r="276" spans="1:8" s="6" customFormat="1" x14ac:dyDescent="0.3">
      <c r="A276" s="25"/>
      <c r="B276" s="33"/>
      <c r="C276" s="25"/>
      <c r="D276" s="24"/>
      <c r="E276" s="25"/>
    </row>
    <row r="277" spans="1:8" s="6" customFormat="1" x14ac:dyDescent="0.3">
      <c r="A277" s="35"/>
      <c r="B277" s="31" t="s">
        <v>216</v>
      </c>
      <c r="C277" s="36" t="s">
        <v>272</v>
      </c>
      <c r="D277" s="37">
        <f>SUM(D6:D276)</f>
        <v>1454986.8345999999</v>
      </c>
      <c r="E277" s="25"/>
    </row>
    <row r="278" spans="1:8" s="6" customFormat="1" x14ac:dyDescent="0.3">
      <c r="A278" s="35"/>
      <c r="B278" s="31"/>
      <c r="C278" s="36"/>
      <c r="D278" s="24"/>
      <c r="E278" s="25"/>
    </row>
    <row r="279" spans="1:8" s="6" customFormat="1" x14ac:dyDescent="0.3">
      <c r="A279" s="35"/>
      <c r="B279" s="31" t="s">
        <v>221</v>
      </c>
      <c r="C279" s="36" t="s">
        <v>273</v>
      </c>
      <c r="D279" s="24">
        <f>150%*D277</f>
        <v>2182480.2519</v>
      </c>
      <c r="E279" s="25"/>
    </row>
    <row r="280" spans="1:8" s="6" customFormat="1" x14ac:dyDescent="0.3">
      <c r="A280" s="35"/>
      <c r="B280" s="31" t="s">
        <v>222</v>
      </c>
      <c r="C280" s="36" t="s">
        <v>223</v>
      </c>
      <c r="D280" s="24">
        <f>16%*D279</f>
        <v>349196.84030400001</v>
      </c>
      <c r="E280" s="25"/>
    </row>
    <row r="281" spans="1:8" s="6" customFormat="1" x14ac:dyDescent="0.3">
      <c r="A281" s="35"/>
      <c r="B281" s="31" t="s">
        <v>275</v>
      </c>
      <c r="C281" s="36" t="s">
        <v>274</v>
      </c>
      <c r="D281" s="37">
        <f>D279+D280</f>
        <v>2531677.0922039999</v>
      </c>
      <c r="E281" s="25"/>
    </row>
    <row r="282" spans="1:8" s="6" customFormat="1" x14ac:dyDescent="0.3">
      <c r="A282" s="35"/>
      <c r="B282" s="31"/>
      <c r="C282" s="36"/>
      <c r="D282" s="24"/>
      <c r="E282" s="25"/>
      <c r="G282" s="57"/>
    </row>
    <row r="283" spans="1:8" s="6" customFormat="1" x14ac:dyDescent="0.3">
      <c r="A283" s="35"/>
      <c r="B283" s="31" t="s">
        <v>276</v>
      </c>
      <c r="C283" s="36" t="s">
        <v>277</v>
      </c>
      <c r="D283" s="37">
        <f>D277+D281</f>
        <v>3986663.9268039996</v>
      </c>
      <c r="E283" s="25"/>
    </row>
    <row r="284" spans="1:8" s="6" customFormat="1" x14ac:dyDescent="0.3">
      <c r="A284" s="46"/>
      <c r="B284" s="47"/>
      <c r="C284" s="48"/>
      <c r="D284" s="49"/>
      <c r="E284" s="50"/>
    </row>
    <row r="285" spans="1:8" s="6" customFormat="1" x14ac:dyDescent="0.3">
      <c r="A285" s="46"/>
      <c r="B285" s="47"/>
      <c r="C285" s="48"/>
      <c r="D285" s="49"/>
      <c r="E285" s="50"/>
    </row>
    <row r="288" spans="1:8" s="40" customFormat="1" ht="54" customHeight="1" x14ac:dyDescent="0.3">
      <c r="A288" s="51" t="s">
        <v>271</v>
      </c>
      <c r="B288" s="52"/>
      <c r="C288" s="52"/>
      <c r="D288" s="52"/>
      <c r="E288" s="52"/>
    </row>
    <row r="289" spans="1:5" s="40" customFormat="1" ht="60.6" customHeight="1" x14ac:dyDescent="0.3">
      <c r="A289" s="14"/>
      <c r="B289" s="41"/>
      <c r="C289" s="41"/>
      <c r="D289" s="41"/>
      <c r="E289" s="41"/>
    </row>
    <row r="290" spans="1:5" s="40" customFormat="1" ht="13.8" customHeight="1" x14ac:dyDescent="0.3">
      <c r="A290" s="14"/>
      <c r="B290" s="41"/>
      <c r="C290" s="15" t="s">
        <v>269</v>
      </c>
      <c r="D290" s="41"/>
      <c r="E290" s="41"/>
    </row>
    <row r="291" spans="1:5" s="40" customFormat="1" x14ac:dyDescent="0.3">
      <c r="A291" s="8"/>
      <c r="B291" s="44"/>
      <c r="C291" s="38" t="s">
        <v>270</v>
      </c>
      <c r="D291" s="9"/>
      <c r="E291" s="7"/>
    </row>
    <row r="292" spans="1:5" s="40" customFormat="1" x14ac:dyDescent="0.3">
      <c r="A292" s="8"/>
      <c r="B292" s="44"/>
      <c r="C292" s="38"/>
      <c r="D292" s="9"/>
      <c r="E292" s="7"/>
    </row>
    <row r="293" spans="1:5" s="40" customFormat="1" x14ac:dyDescent="0.3">
      <c r="A293" s="8"/>
      <c r="B293" s="44"/>
      <c r="C293" s="39" t="s">
        <v>256</v>
      </c>
      <c r="D293" s="9"/>
      <c r="E293" s="7"/>
    </row>
    <row r="294" spans="1:5" s="40" customFormat="1" x14ac:dyDescent="0.3">
      <c r="A294" s="8"/>
      <c r="B294" s="44"/>
      <c r="C294" s="8" t="s">
        <v>257</v>
      </c>
      <c r="D294" s="9"/>
      <c r="E294" s="7"/>
    </row>
    <row r="295" spans="1:5" s="40" customFormat="1" x14ac:dyDescent="0.3">
      <c r="A295" s="8"/>
      <c r="B295" s="44"/>
      <c r="C295" s="8" t="s">
        <v>258</v>
      </c>
      <c r="D295" s="9"/>
      <c r="E295" s="7"/>
    </row>
    <row r="296" spans="1:5" s="40" customFormat="1" x14ac:dyDescent="0.3">
      <c r="A296" s="8"/>
      <c r="B296" s="44"/>
      <c r="C296" s="8" t="s">
        <v>259</v>
      </c>
      <c r="D296" s="9"/>
      <c r="E296" s="7"/>
    </row>
    <row r="297" spans="1:5" s="40" customFormat="1" x14ac:dyDescent="0.3">
      <c r="A297" s="8"/>
      <c r="B297" s="44"/>
      <c r="C297" s="8" t="s">
        <v>260</v>
      </c>
      <c r="D297" s="9"/>
      <c r="E297" s="7"/>
    </row>
    <row r="298" spans="1:5" s="40" customFormat="1" x14ac:dyDescent="0.3">
      <c r="A298" s="8"/>
      <c r="B298" s="44"/>
      <c r="C298" s="42" t="s">
        <v>261</v>
      </c>
      <c r="D298" s="9"/>
      <c r="E298" s="7"/>
    </row>
    <row r="299" spans="1:5" s="40" customFormat="1" x14ac:dyDescent="0.3">
      <c r="A299" s="8"/>
      <c r="B299" s="44"/>
      <c r="C299" s="8" t="s">
        <v>262</v>
      </c>
      <c r="D299" s="9"/>
      <c r="E299" s="7"/>
    </row>
    <row r="300" spans="1:5" s="40" customFormat="1" x14ac:dyDescent="0.3">
      <c r="A300" s="8"/>
      <c r="B300" s="44"/>
      <c r="C300" s="8"/>
      <c r="D300" s="9"/>
      <c r="E300" s="7"/>
    </row>
    <row r="301" spans="1:5" s="40" customFormat="1" x14ac:dyDescent="0.3">
      <c r="A301" s="8"/>
      <c r="B301" s="44"/>
      <c r="C301" s="42" t="s">
        <v>263</v>
      </c>
      <c r="D301" s="9"/>
      <c r="E301" s="7"/>
    </row>
    <row r="302" spans="1:5" s="40" customFormat="1" x14ac:dyDescent="0.3">
      <c r="A302" s="8"/>
      <c r="B302" s="44"/>
      <c r="C302" s="8" t="s">
        <v>264</v>
      </c>
      <c r="D302" s="9"/>
      <c r="E302" s="7"/>
    </row>
    <row r="303" spans="1:5" s="40" customFormat="1" x14ac:dyDescent="0.3">
      <c r="A303" s="8"/>
      <c r="B303" s="44"/>
      <c r="C303" s="8" t="s">
        <v>265</v>
      </c>
      <c r="D303" s="9"/>
      <c r="E303" s="7"/>
    </row>
    <row r="304" spans="1:5" s="40" customFormat="1" x14ac:dyDescent="0.3">
      <c r="A304" s="8"/>
      <c r="B304" s="44"/>
      <c r="C304" s="8" t="s">
        <v>266</v>
      </c>
      <c r="D304" s="9"/>
      <c r="E304" s="7"/>
    </row>
    <row r="305" spans="1:5" s="40" customFormat="1" x14ac:dyDescent="0.3">
      <c r="A305" s="8"/>
      <c r="B305" s="44"/>
      <c r="C305" s="8" t="s">
        <v>267</v>
      </c>
      <c r="D305" s="9"/>
      <c r="E305" s="7"/>
    </row>
    <row r="306" spans="1:5" s="40" customFormat="1" x14ac:dyDescent="0.3">
      <c r="A306" s="8"/>
      <c r="B306" s="44"/>
      <c r="C306" s="42" t="s">
        <v>261</v>
      </c>
      <c r="D306" s="9"/>
      <c r="E306" s="7"/>
    </row>
    <row r="307" spans="1:5" s="40" customFormat="1" x14ac:dyDescent="0.3">
      <c r="A307" s="8"/>
      <c r="B307" s="44"/>
      <c r="C307" s="8" t="s">
        <v>268</v>
      </c>
      <c r="D307" s="9"/>
      <c r="E307" s="7"/>
    </row>
    <row r="308" spans="1:5" s="40" customFormat="1" x14ac:dyDescent="0.3">
      <c r="A308" s="8"/>
      <c r="B308" s="44"/>
      <c r="C308" s="8"/>
      <c r="D308" s="9"/>
      <c r="E308" s="7"/>
    </row>
    <row r="320" spans="1:5" x14ac:dyDescent="0.3">
      <c r="E320" s="4"/>
    </row>
  </sheetData>
  <mergeCells count="3">
    <mergeCell ref="A288:E288"/>
    <mergeCell ref="A1:E1"/>
    <mergeCell ref="A2:E2"/>
  </mergeCells>
  <pageMargins left="0.7" right="0.7" top="0.75" bottom="0.75" header="0.3" footer="0.3"/>
  <pageSetup scale="10" orientation="portrait" r:id="rId1"/>
  <rowBreaks count="1" manualBreakCount="1">
    <brk id="309"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Doreen Khizi</dc:creator>
  <cp:lastModifiedBy>Doreen Khizi</cp:lastModifiedBy>
  <cp:lastPrinted>2026-02-03T11:41:56Z</cp:lastPrinted>
  <dcterms:created xsi:type="dcterms:W3CDTF">2025-10-15T12:46:22Z</dcterms:created>
  <dcterms:modified xsi:type="dcterms:W3CDTF">2026-02-03T11:53:35Z</dcterms:modified>
</cp:coreProperties>
</file>
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1724" windowHeight="9168"/>
  </bookViews>
  <sheets>
    <sheet name="Sheet1" sheetId="1" r:id="rId1"/>
  </sheets>
  <definedNames>
    <definedName name="_xlnm.Print_Area" localSheetId="0">Sheet1!$A$12:$H$359</definedName>
  </definedNames>
  <calcPr calcId="162913"/>
</workbook>
</file>

<file path=xl/calcChain.xml><?xml version="1.0" encoding="utf-8"?>
<calcChain xmlns="http://schemas.openxmlformats.org/spreadsheetml/2006/main">
  <c r="D14" i="1" l="1"/>
  <c r="D310" i="1" l="1"/>
  <c r="D311" i="1"/>
  <c r="D309" i="1"/>
  <c r="D308" i="1"/>
  <c r="D307" i="1"/>
  <c r="D295" i="1"/>
  <c r="D296" i="1"/>
  <c r="D297" i="1"/>
  <c r="D298" i="1"/>
  <c r="D299" i="1"/>
  <c r="D300" i="1"/>
  <c r="D301" i="1"/>
  <c r="D302" i="1"/>
  <c r="D303" i="1"/>
  <c r="D294" i="1"/>
  <c r="D291" i="1"/>
  <c r="D287" i="1"/>
  <c r="D288" i="1"/>
  <c r="D289" i="1"/>
  <c r="D290" i="1"/>
  <c r="D284" i="1"/>
  <c r="D285" i="1"/>
  <c r="D286" i="1"/>
  <c r="D283" i="1"/>
  <c r="D203" i="1"/>
  <c r="D245" i="1"/>
  <c r="D244" i="1"/>
  <c r="D243" i="1"/>
  <c r="D256" i="1"/>
  <c r="D255" i="1"/>
  <c r="D254" i="1"/>
  <c r="D253" i="1"/>
  <c r="D252" i="1"/>
  <c r="D251" i="1"/>
  <c r="D250" i="1"/>
  <c r="D249" i="1"/>
  <c r="D248" i="1"/>
  <c r="D247" i="1"/>
  <c r="D246" i="1"/>
  <c r="D242" i="1"/>
  <c r="D275" i="1"/>
  <c r="D274" i="1"/>
  <c r="D273" i="1"/>
  <c r="D272" i="1"/>
  <c r="D271" i="1"/>
  <c r="D270" i="1"/>
  <c r="D269" i="1"/>
  <c r="D268" i="1"/>
  <c r="D267" i="1"/>
  <c r="D266" i="1"/>
  <c r="D265" i="1"/>
  <c r="D264" i="1"/>
  <c r="D263" i="1"/>
  <c r="D262" i="1"/>
  <c r="D261" i="1"/>
  <c r="D260" i="1"/>
  <c r="D258" i="1"/>
  <c r="D257" i="1"/>
  <c r="D259" i="1"/>
  <c r="D129" i="1"/>
  <c r="D128" i="1"/>
  <c r="D127" i="1"/>
  <c r="D126" i="1"/>
  <c r="D125" i="1"/>
  <c r="D124" i="1"/>
  <c r="D123" i="1"/>
  <c r="D122" i="1"/>
  <c r="D121" i="1"/>
  <c r="D120" i="1"/>
  <c r="D119" i="1"/>
  <c r="D118" i="1"/>
  <c r="D117" i="1"/>
  <c r="D116" i="1"/>
  <c r="D115" i="1"/>
  <c r="D114" i="1"/>
  <c r="D113" i="1"/>
  <c r="D112" i="1"/>
  <c r="D111" i="1"/>
  <c r="D110" i="1"/>
  <c r="D109" i="1"/>
  <c r="D106" i="1"/>
  <c r="D105" i="1"/>
  <c r="D104" i="1"/>
  <c r="D103" i="1"/>
  <c r="D102" i="1"/>
  <c r="D101" i="1"/>
  <c r="D100" i="1"/>
  <c r="D99" i="1"/>
  <c r="D98" i="1"/>
  <c r="D97" i="1"/>
  <c r="D93" i="1"/>
  <c r="D88" i="1"/>
  <c r="D87" i="1"/>
  <c r="D84" i="1"/>
  <c r="D82" i="1"/>
  <c r="D81" i="1"/>
  <c r="D80" i="1"/>
  <c r="D79" i="1"/>
  <c r="D78" i="1"/>
  <c r="D54" i="1"/>
  <c r="D53" i="1"/>
  <c r="D51" i="1"/>
  <c r="D50" i="1"/>
  <c r="D49" i="1"/>
  <c r="D48" i="1"/>
  <c r="D47" i="1"/>
  <c r="D46" i="1"/>
  <c r="D45" i="1"/>
  <c r="D44" i="1"/>
  <c r="D43" i="1"/>
  <c r="D28" i="1"/>
  <c r="D39" i="1" s="1"/>
  <c r="D25" i="1"/>
  <c r="D328" i="1" l="1"/>
  <c r="D330" i="1" s="1"/>
</calcChain>
</file>

<file path=xl/sharedStrings.xml><?xml version="1.0" encoding="utf-8"?>
<sst xmlns="http://schemas.openxmlformats.org/spreadsheetml/2006/main" count="342" uniqueCount="293">
  <si>
    <t>REPUBLIC OF KENYA</t>
  </si>
  <si>
    <t>IN THE MATTER OF THE ARBITRATION ACT 1995</t>
  </si>
  <si>
    <t>AND</t>
  </si>
  <si>
    <t>BETWEEN</t>
  </si>
  <si>
    <t>CLAIMANT'S PARTY &amp; PARTY BILL OF COSTS</t>
  </si>
  <si>
    <t>(Pursuant to the Advocates (Remuneration) (Amendment) Order 2014-Schedule 6)</t>
  </si>
  <si>
    <t>DATE</t>
  </si>
  <si>
    <t>ITEM NO.</t>
  </si>
  <si>
    <t>PARTICULARS OF SERVICES RENDERED</t>
  </si>
  <si>
    <t>AMOUNT CLAIMED</t>
  </si>
  <si>
    <t>A</t>
  </si>
  <si>
    <t>Instructions Fees:</t>
  </si>
  <si>
    <t>To receiving instructions to act on behalf of the Claimant to institute a dispute against the the Respondent before an Arbitral Tribunal for:</t>
  </si>
  <si>
    <t>Getting up fees for trial</t>
  </si>
  <si>
    <t xml:space="preserve">Claimant's Defence against the Respondent's Counterclaim </t>
  </si>
  <si>
    <t>(g) Kenya power and Limuru water bills paid for by the Respondent to avoid disconnection of these utilities during the construction period amounting to Ksh 1,155,435.18</t>
  </si>
  <si>
    <t>(h) Interest on above noted principal payments amounting to Ksh 88,832,497.49</t>
  </si>
  <si>
    <t xml:space="preserve">(i) Cost of this Arbitration </t>
  </si>
  <si>
    <t>B</t>
  </si>
  <si>
    <t>Taking into Consideration the following:</t>
  </si>
  <si>
    <t xml:space="preserve">i. </t>
  </si>
  <si>
    <t>Drawing the following documents:</t>
  </si>
  <si>
    <t xml:space="preserve">ii. </t>
  </si>
  <si>
    <t>Writing the Following necessary Letters</t>
  </si>
  <si>
    <t>C</t>
  </si>
  <si>
    <t>Necessary Perusal of the following served documents:</t>
  </si>
  <si>
    <t>From the Arbitrator</t>
  </si>
  <si>
    <t xml:space="preserve">From the Respondent </t>
  </si>
  <si>
    <t>D.</t>
  </si>
  <si>
    <t>Email Correspondence</t>
  </si>
  <si>
    <t>i.</t>
  </si>
  <si>
    <t>Perusal of emails received from the Respondent</t>
  </si>
  <si>
    <t>Perusal of the following emails from the Arbitrator</t>
  </si>
  <si>
    <t>iii.</t>
  </si>
  <si>
    <t>Writing the following emails</t>
  </si>
  <si>
    <t>Printing &amp; making copies of the following documents</t>
  </si>
  <si>
    <t>Effecting Service of the following documents and having regard to the following:</t>
  </si>
  <si>
    <t xml:space="preserve">c. Server made a two round trip for service to the Arbitrator and Respondent </t>
  </si>
  <si>
    <t>a</t>
  </si>
  <si>
    <t>Delivered Correspondence</t>
  </si>
  <si>
    <t xml:space="preserve">Letter to the Arbitrator requesting him to call a preliminary meeting </t>
  </si>
  <si>
    <t>b</t>
  </si>
  <si>
    <t>Delivered Pleadings &amp; Documents</t>
  </si>
  <si>
    <t xml:space="preserve">Claimant's Replying Submissions </t>
  </si>
  <si>
    <t xml:space="preserve">Claimant's Submissions </t>
  </si>
  <si>
    <t xml:space="preserve">Making the Following Virtual and Physical Attendances </t>
  </si>
  <si>
    <t>Hearing (Full Day)</t>
  </si>
  <si>
    <t>Further Having regard to:</t>
  </si>
  <si>
    <t>ii. The interests of the parties;</t>
  </si>
  <si>
    <t xml:space="preserve">iii. Importance and complexity of the dispute and the volumes of documents involved. </t>
  </si>
  <si>
    <t>Sub-total</t>
  </si>
  <si>
    <t>J.</t>
  </si>
  <si>
    <t>E</t>
  </si>
  <si>
    <t>F</t>
  </si>
  <si>
    <t>G</t>
  </si>
  <si>
    <t>I</t>
  </si>
  <si>
    <t>Preliminary meetings and subsequent attendances for mention.</t>
  </si>
  <si>
    <t>IN THE MATTER OF AN ARBITRATION OF DISPUTE ON THE CONTRACT FOR THE CONSTRUCTION OF THE VILLAGE MARKET EXPANSION AND GREENHILLS HOTEL ON LIMURU ROAD, NAIROBI</t>
  </si>
  <si>
    <t>SEYANI BROTHERS &amp; CO. (K) LIMITED……………………………………….………………CLAIMANT</t>
  </si>
  <si>
    <t>GREENHILLS INVESTMENT LIMITED………...……………………………………………….RESPONDENT</t>
  </si>
  <si>
    <t>b. A declaration that the archtiect should have issued a Final Certificate on 9th April 2021.</t>
  </si>
  <si>
    <t>c. A declaration that the payment of the Final Certificate was due on the 23rd April 2021.</t>
  </si>
  <si>
    <t>d. An order for the Respondent to pay the Claimant the sum of Kshs 116,000,000.00 (inclusive of VAT) being the agreed amount payable to the Claimant.</t>
  </si>
  <si>
    <t>e. An order for the Respondent to pay the Claimant the sum of Kshs.19,998,976.84, being the final amount payable to the subcontractors, who are Patronics Services Limited, Jaisham Ltd, and Universal Engineering Systems Ltd.</t>
  </si>
  <si>
    <t>g. An order for the Respondent to pay the Respondent to pay the Claimant interest on the Kshs.19,998,976.84, from 24 April 2021 until payment in full.</t>
  </si>
  <si>
    <t>f. An order for the Respondent to pay the Respondent to pay the Claimant interest on the Kshs.116,000,000.00 from 31st December 2020 until pyament in full.</t>
  </si>
  <si>
    <t>h. An order for the Respondent to pay the interest on the awarded amount until payment in full.</t>
  </si>
  <si>
    <t>i. An order for the Respondent to pay the full costs of the arbitration.</t>
  </si>
  <si>
    <t>a. A declaration that a final certificate was due from the architect upon signing of the Final Account in accordance with clause 34.21 of the contract.</t>
  </si>
  <si>
    <t>(a) overpayments valued at Kshs.725,173,566.77</t>
  </si>
  <si>
    <t>(b)Interest on overpayments valued at Kshs. 240,864,770</t>
  </si>
  <si>
    <t>(c) Loss of tiles valued at Kshs. 14, 000,000</t>
  </si>
  <si>
    <t xml:space="preserve">(d) Damages on shops due to flooding valued at Kshs. 2,595,658 </t>
  </si>
  <si>
    <t>(e) Repairs to Tegola finished roofs amounting to Kshs. 23,508,040</t>
  </si>
  <si>
    <t>(f) External wall marmoran paint finish Kshs. 11,829, 600.</t>
  </si>
  <si>
    <t>Claimant's Statement of Claim(15.42 folios)</t>
  </si>
  <si>
    <t>Claimant's Table of Contents for Bundle of Documents C1 (4.25folios)</t>
  </si>
  <si>
    <t>Claimant's Application to Ammend Statement of Claim(6.84 folios)</t>
  </si>
  <si>
    <t>Claimant's Ammeded Statement of Claim (20.62 folios)</t>
  </si>
  <si>
    <t>Claimant's Replying Submissions (135.25 folios)</t>
  </si>
  <si>
    <t>Claimant's Submissions (327.9 folios)</t>
  </si>
  <si>
    <t>Reply To The Amended Response To The Amended Statement Of Claim And Defence To Counterclaim(34.29 folios)</t>
  </si>
  <si>
    <t>Respondent's Written Submissions (222.36 folios)</t>
  </si>
  <si>
    <t>Response to Defence to Counterclaim (31.02 folios)</t>
  </si>
  <si>
    <t xml:space="preserve">Respondent's Amended Response To The Amended Statement Of Claim And 
Counterclaim(78.23 folios)
</t>
  </si>
  <si>
    <t>Respondent's  Response To The  Statement Of Claim And 
Counterclaim(144.81 folios)</t>
  </si>
  <si>
    <t>Witness Statement of QS Bashir Hajee (16.55 folios)</t>
  </si>
  <si>
    <t>Witness Statement of Oscar Ogunde (15.90 folios)</t>
  </si>
  <si>
    <t>Respondent's  List of Documents(15.69 Folios)</t>
  </si>
  <si>
    <t>Application to  Summon Expet Witness(14.16 folios)</t>
  </si>
  <si>
    <t>Respondent's List of Documents Bundle 1 (268.09 folios)</t>
  </si>
  <si>
    <t>Respondent's List of Documents Bundle 2 (236.56 folios)</t>
  </si>
  <si>
    <t>Respondent's List of Documents Bundle 3 (68.83 folios)</t>
  </si>
  <si>
    <t>Respondent's List of Documents Bundle 6 (69.44 folios)</t>
  </si>
  <si>
    <t>Respondent's List of Documents Bundle R4 (392 folios)</t>
  </si>
  <si>
    <t>Respondent's List of Documents Bundle R5(378 folios)</t>
  </si>
  <si>
    <t>Respondent's List of Documents Bundle R3 (A3) (468 folios)</t>
  </si>
  <si>
    <t>Respondent's Supplementary List Of Documents (B)/ Supplementary List of Defects(38.78 folios)</t>
  </si>
  <si>
    <t>Leave to File Reply Letter(1.89 folios)</t>
  </si>
  <si>
    <t>Amended Reply: In Respose To The Further Amended Response To The Amended Statement Of Claim And Defence To Counterclaim(82.10 folios)</t>
  </si>
  <si>
    <t>Amended Reply: In response to the further ammended response to the amended statement of claim and defence to counterclaim(84.08 folios)</t>
  </si>
  <si>
    <t>Witness Statement of Hirji Seyani (6.16 folios)</t>
  </si>
  <si>
    <t>Witness Statement of George Ngure(3.66 folios)</t>
  </si>
  <si>
    <t>Witness Statement of Sanjay Ramniklal Shah (62.03 folios)</t>
  </si>
  <si>
    <t>Supplementary Witness Statement of Sanjay Ramniklal Shah(6.42 folios)</t>
  </si>
  <si>
    <t>Preliminary meeting No. 1 (2hrs)</t>
  </si>
  <si>
    <t>Preliminary Meeting No.2 (2hrs)</t>
  </si>
  <si>
    <t>Pre-hearing Review Meeting (1.5 hrs)</t>
  </si>
  <si>
    <t>Preliminary Meeting No.3 (3hrs)</t>
  </si>
  <si>
    <t>Preliminary Meeting No.4 (1.5 hrs)</t>
  </si>
  <si>
    <t>Hearing &amp; Site Visit (Full Day)</t>
  </si>
  <si>
    <t>Email forwarding letter requesting for preliminary meeting</t>
  </si>
  <si>
    <t>Email forwarding letter of acceptance of Arbitrator's terms</t>
  </si>
  <si>
    <t>Email forwarding letter to Arbitrator on the correct email addresses</t>
  </si>
  <si>
    <t>Email forwarding letter of confirmation for the preliminary meeting</t>
  </si>
  <si>
    <t>Email confirming availability for the prehearing conference</t>
  </si>
  <si>
    <t>No objection to the adjournment of the preliminary meeting</t>
  </si>
  <si>
    <t>Email forwarding Claimant's PIN</t>
  </si>
  <si>
    <t>Email forwarding Claimant's documents</t>
  </si>
  <si>
    <t>Email requesting for the Invoice and ETR</t>
  </si>
  <si>
    <t>Acknowledging receipt of the ETR receipt</t>
  </si>
  <si>
    <t>Email asking for the arbitrator's link</t>
  </si>
  <si>
    <t>Email in response to the Arbitrator's email dated 27th June 2023 (1 folio)</t>
  </si>
  <si>
    <t>Email acknowledging receipt of Order for Directions No. 2</t>
  </si>
  <si>
    <t>Email forwarding Application to amend the Statement of Claim</t>
  </si>
  <si>
    <t>Email forwarding Claimant's letter requesting for additional time to file Reply to Defence</t>
  </si>
  <si>
    <t>Email forwarding Reply to Amended Defence</t>
  </si>
  <si>
    <t xml:space="preserve">Email forwarding letter on complianceand hearing </t>
  </si>
  <si>
    <t>Email on confirmation of attendance to the prehearing and request for ruling</t>
  </si>
  <si>
    <t>Letter forwarding the Claimant's Application for peremptory orders</t>
  </si>
  <si>
    <t>Request for further instructions on Demand Note No.2</t>
  </si>
  <si>
    <t>Email recalling letter with wrong date</t>
  </si>
  <si>
    <t>Email forwarding letter regarding the filing of the Claimant's reply</t>
  </si>
  <si>
    <t>Email forwarding Reply to Amended Response to Statement of Claim</t>
  </si>
  <si>
    <t>Email forwarding letter regarding the payment of fee note 2</t>
  </si>
  <si>
    <t>Email forwarding Claimant's Replying Affidavit (Court)</t>
  </si>
  <si>
    <t>Email requesting for directions and objection after failure by the Respondent to file submissions</t>
  </si>
  <si>
    <t>Email seeking extension by 7 days to file replying submissions</t>
  </si>
  <si>
    <t>Email requesting further extension</t>
  </si>
  <si>
    <t>Email requesting additional time to file replying submissions</t>
  </si>
  <si>
    <t>Email forwarding Replying Submissions</t>
  </si>
  <si>
    <t>Email forwarding letter requesting for timelines for the Final Award</t>
  </si>
  <si>
    <t>Email forwarding letter requesting for revised estimates of costs</t>
  </si>
  <si>
    <t>Email forwarding Claimant's replying submissions</t>
  </si>
  <si>
    <t>Email forwarding a letter forwarding 2 cheques towards settlement of arbitrators fee note 3 and corrections</t>
  </si>
  <si>
    <t>Email forwarding the acceptance letter and asking for confirmation of addresses</t>
  </si>
  <si>
    <t>Email forwarding acceptance letter and arbitrator's terms (resend).</t>
  </si>
  <si>
    <t>Email forwarding letter requesting the Respondent to confirm arbitrators acceptance and terms.</t>
  </si>
  <si>
    <t>Email forwarding letter on clarifications on arbitrator's terms</t>
  </si>
  <si>
    <t>Email proposing a date for the prehearing meeting</t>
  </si>
  <si>
    <t>Demand Note No.1 and delivery status</t>
  </si>
  <si>
    <t>Email forwarding letter on 'Delivery Failure' and proposed preliminary meeting</t>
  </si>
  <si>
    <t>Email forwarding notification of preliminary meeting and agenda for the meeting</t>
  </si>
  <si>
    <t>Email rescheduling the preliminary meeting</t>
  </si>
  <si>
    <t>Email forwarding confirming settlement of Note No. 1</t>
  </si>
  <si>
    <t>Email forwarding OFD No. 1</t>
  </si>
  <si>
    <t>Email requesting for the Claimant's KRA PIN</t>
  </si>
  <si>
    <t>Email acknowledging receipt of the Claimants PIN</t>
  </si>
  <si>
    <t>Email forwarding ETR receipt</t>
  </si>
  <si>
    <t>Email adjourning prehearing meeting and proposing alternative days</t>
  </si>
  <si>
    <t>Email forwarding Order for Direction No. 2</t>
  </si>
  <si>
    <t>Email forwarding the agenda for prehearing</t>
  </si>
  <si>
    <t>Email forwarding OfD No.3</t>
  </si>
  <si>
    <t>Arbitrator's draft agreement &amp; prehearing agenda</t>
  </si>
  <si>
    <t>Email forwarding Order for Directions No. 4</t>
  </si>
  <si>
    <t>Email acknowledging receipt of the Claimant's letter granting extension to file Reply to Defence</t>
  </si>
  <si>
    <t>Email on reservation of hearing venue</t>
  </si>
  <si>
    <t>Email forwarding Order for Directions No. 5</t>
  </si>
  <si>
    <t>Email forwarding ruling on the Respondent's application on summoning expert witness</t>
  </si>
  <si>
    <t>Confirming receipt of documents from the Respondent</t>
  </si>
  <si>
    <t>Email vacating hearing of 15th November 2023</t>
  </si>
  <si>
    <t>Email on notification of cancellation of the reservation of the hearing venue</t>
  </si>
  <si>
    <t>Email forwarding Order for Directions No. 6</t>
  </si>
  <si>
    <t>Email proposing prehearing date</t>
  </si>
  <si>
    <t>Email confirming prehearing conference</t>
  </si>
  <si>
    <t>Email forwarding draft agenda</t>
  </si>
  <si>
    <t>Email forwarding Order for Directions No. 7 and Fee Note No. 2</t>
  </si>
  <si>
    <t>Email forwarding Order for Directions No. 8</t>
  </si>
  <si>
    <t>Postponing prehearing meeting</t>
  </si>
  <si>
    <t>Email forwarding letter inviting Respondent's comments on the Claimant's request</t>
  </si>
  <si>
    <t>Email forwarding revised fee note 2</t>
  </si>
  <si>
    <t xml:space="preserve">Email forwarding letter granting the Claimant's application for additional time </t>
  </si>
  <si>
    <t>Reminder to settle fee note no 2</t>
  </si>
  <si>
    <t>Email confirming hearing dates and venue</t>
  </si>
  <si>
    <t>Email forwarding letter acknowledging receipt of cheques from Claimant</t>
  </si>
  <si>
    <t>Email forwarding Order for Directions No. 9 and confirming hearing dates</t>
  </si>
  <si>
    <t>Email vacating hearing due to demonstrations</t>
  </si>
  <si>
    <t>Email forwarding the transcripts by the stenographer</t>
  </si>
  <si>
    <t>Email on the resumption of hearing and confirmation of booking of venue</t>
  </si>
  <si>
    <t>Email forwarding ETR Receipts</t>
  </si>
  <si>
    <t>Transcripts by the stenographer</t>
  </si>
  <si>
    <t>Email forwarding transcripts by stenographer</t>
  </si>
  <si>
    <t>Email forwarding Order for Directions No. 10</t>
  </si>
  <si>
    <t>Email confirming Claimants' Submissions and asking for the Respondent's submissions</t>
  </si>
  <si>
    <t>Email forwarding letter confirming extension of time to the Respondent</t>
  </si>
  <si>
    <t>Granting extension to the Claimant for the filing of its replying submissions</t>
  </si>
  <si>
    <t>Email granting request for further extension by the Claimant</t>
  </si>
  <si>
    <t>Email forwarding letter in response to Claimant's request for timelines for the publication of the award.</t>
  </si>
  <si>
    <t>Email responding to Claimant's request for revised estimates</t>
  </si>
  <si>
    <t>Email on the notification of award and statement of fees</t>
  </si>
  <si>
    <t>Email forwarding revised fee note 3 and invoice</t>
  </si>
  <si>
    <t>Email forwarding the final fee note</t>
  </si>
  <si>
    <t>Email forwarding the Respondent's letter on its unavailability for the preliminary meeting</t>
  </si>
  <si>
    <t>Email forwarding further amended response</t>
  </si>
  <si>
    <t>Email asking for the arbitrators link</t>
  </si>
  <si>
    <t>Service of Respondent's documents</t>
  </si>
  <si>
    <t>Email requesting an extension of time to file submissions</t>
  </si>
  <si>
    <t>Email requesting for 15 days extension to file submissions</t>
  </si>
  <si>
    <t>Email requesting for further extension</t>
  </si>
  <si>
    <t>Email promising to file submissions on 17th April 2025</t>
  </si>
  <si>
    <t>Email forwarding the Respondent's submissions</t>
  </si>
  <si>
    <t>Claimant's Statement of Claim</t>
  </si>
  <si>
    <t>Amended Reply: In Respose To The Further Amended Response To The Amended Statement Of Claim And Defence To Counterclaim</t>
  </si>
  <si>
    <t>Amended Reply: In response to the further ammended response to the amended statement of claim and defence to counterclaim</t>
  </si>
  <si>
    <t xml:space="preserve">Witness Statement of Hirji Seyani </t>
  </si>
  <si>
    <t>Witness Statement of George Ngure</t>
  </si>
  <si>
    <t>Reply To The Amended Response To The Amended Statement Of Claim And Defence To Counterclaim</t>
  </si>
  <si>
    <t>Claimants Bundle of Authorities(493.04 folios)</t>
  </si>
  <si>
    <t>Letter regarding revised final fee note (2.3 folios)</t>
  </si>
  <si>
    <t>Orders for Directions</t>
  </si>
  <si>
    <t>Order for Directions No. 10 (3.21 folios)</t>
  </si>
  <si>
    <t>Order for Directions No. 9 (2.68 folios)</t>
  </si>
  <si>
    <t>Order for Directions No. 8 (5.1 folios)</t>
  </si>
  <si>
    <t>Order for Directions No. 7 (6.49 folios)</t>
  </si>
  <si>
    <t>Order for Directions No. 6 ( 8.6 folios)</t>
  </si>
  <si>
    <t>Order for Directions No. 5 (1.67 folios)</t>
  </si>
  <si>
    <t>Order for Directions No. 4 (5 folios)</t>
  </si>
  <si>
    <t>Order for Directions No. 3 (4.67 folios)</t>
  </si>
  <si>
    <t>Order for Directions No. 2 ( 1.34 folios)</t>
  </si>
  <si>
    <t>Order for Directions No. 1 (24.43 folios)</t>
  </si>
  <si>
    <t>Further Ammended Response to the Ammended Statement of Claim and Counterclaim(81 folios)</t>
  </si>
  <si>
    <t xml:space="preserve">Letter to the Arbitrator forwarding 2 cheques and corrections </t>
  </si>
  <si>
    <t>Letter to the Arbitrator commenting on the estimate of final fees and disbursements</t>
  </si>
  <si>
    <t>Letter to the Arbitrator requesting to be advised when the award is ready</t>
  </si>
  <si>
    <t>Letter to the Arbitrator confirming payment and requesting hearing schedule</t>
  </si>
  <si>
    <t>Letter to the Arbitrator requesting for additional 14 days to file Reply to Further Amended Defence</t>
  </si>
  <si>
    <t>Letter to the Arbitrator commenting on Fee Note No.2</t>
  </si>
  <si>
    <t>Letter to the Arbitrator requesting for additional 21 days to file Response to Amended Defence</t>
  </si>
  <si>
    <t>Letter to the Arbitrator requesting for issuance of peremptory orders in response to Respondent's failure to file their amended Response</t>
  </si>
  <si>
    <t>Letter to the Arbitrator on compliance and readiness for hearing</t>
  </si>
  <si>
    <t>Letter to the Respondent forwarding the arbitrators agreement for execution</t>
  </si>
  <si>
    <t>Letter to the Arbitrator confirming availability for preliminary meeting</t>
  </si>
  <si>
    <t>Letter to the Arbitrator confirming Claimant's readiness to settle Fee Note No. 1 and request for directions</t>
  </si>
  <si>
    <t xml:space="preserve">Letter to the Arbitrator forwarding the correct email and physical addresses of the parties </t>
  </si>
  <si>
    <t>Letter to the Arbitrator commenting on his terms and request for clarifications</t>
  </si>
  <si>
    <t>Letter to the Architectural Association of Kenya requesting for appointment of an arbitrator</t>
  </si>
  <si>
    <t>Letter to the Respondent notifying dispute</t>
  </si>
  <si>
    <t xml:space="preserve">Demand Letter </t>
  </si>
  <si>
    <t>Letter forwarding Fee Note No.3 ( 1.89 folios)</t>
  </si>
  <si>
    <t>Letter responding to Claimants request on the timeline for the publication of the award (2.02 folios)</t>
  </si>
  <si>
    <t>Letter reviewing Arbitrator's Demand Note No. 2 (3 folios)</t>
  </si>
  <si>
    <t>Letter inviting the Respondent's comments on Fee Note No.2 (1 folio)</t>
  </si>
  <si>
    <t>Letter forwarding the Pre-hearing agenda plus the agenda (2 folios)</t>
  </si>
  <si>
    <t>Letter forwarding Demand Note No. 2 (1 folio)</t>
  </si>
  <si>
    <t>Reminder Fee Note No. 1 (1 folio)</t>
  </si>
  <si>
    <t>Ruling on the application to summon an expert witness (15 folios)</t>
  </si>
  <si>
    <t>Letter plus Agenda for the Preliminary Meeting (2 folios)</t>
  </si>
  <si>
    <t>Demand Note No. 1 (1folio)</t>
  </si>
  <si>
    <t>Letter requesting for the right email addresses (1 folio)</t>
  </si>
  <si>
    <t>Letter inviting the Respondent to confirm arbitrators acceptance (1 folio)</t>
  </si>
  <si>
    <t>Letter inving Claimant's comments on Respondent's  proposal of venue (1 folio)</t>
  </si>
  <si>
    <t>Proposed terms of the Arbitrator (2.2)</t>
  </si>
  <si>
    <t>Acceptance Letter (1 folio)</t>
  </si>
  <si>
    <t xml:space="preserve">iii. </t>
  </si>
  <si>
    <t>ii.</t>
  </si>
  <si>
    <t>Hearings (Full Day)</t>
  </si>
  <si>
    <t>Letterforwarding letter regarding the payment of fee note 2</t>
  </si>
  <si>
    <t>Letter forwarding a letter forwarding 2 cheques towards settlement of arbitrators fee note 3 and corrections</t>
  </si>
  <si>
    <t>Respondent's Bundle R7(24folios)</t>
  </si>
  <si>
    <t>AMOUNT TAXED OFF</t>
  </si>
  <si>
    <t>Letter confirming the date of release of the award (2 folios)</t>
  </si>
  <si>
    <t>Email forwarding agenda for the prehearing meeting and resend of Fee Note No.2</t>
  </si>
  <si>
    <t>Application to  Summon Expert Witness(14.16 folios)</t>
  </si>
  <si>
    <t>Claimant's Bundle marked as C1 (280.98 folios)</t>
  </si>
  <si>
    <t>Claimant's Bundle marked as C2 (166.26 folios)</t>
  </si>
  <si>
    <t>Claimant's Bundle marked as C3 (5 folios)</t>
  </si>
  <si>
    <t>Perusal of the Combined Transcripts from the Stenographer (1085.49 folios)</t>
  </si>
  <si>
    <t>Email forwarding Transcripts by the stenographer</t>
  </si>
  <si>
    <t>Claimant's Application to Amend Statement of Claim</t>
  </si>
  <si>
    <t xml:space="preserve">Claimant's Ameded Statement of Claim </t>
  </si>
  <si>
    <t>Arbitrator's Costs paid by the Claimant</t>
  </si>
  <si>
    <t>GRAND TOTAL</t>
  </si>
  <si>
    <t>NYAGAH B. KITHINJI &amp; CO.
ADVOCATES FOR THE CLAIMANT</t>
  </si>
  <si>
    <t>DATED at NAIROBI this        day of                          2026</t>
  </si>
  <si>
    <r>
      <t xml:space="preserve">j. An order for the Respondent to pay the interest on the awarded amount of </t>
    </r>
    <r>
      <rPr>
        <b/>
        <sz val="12"/>
        <rFont val="Maiandra GD"/>
        <family val="2"/>
      </rPr>
      <t>KShs. 219,352,600.00</t>
    </r>
    <r>
      <rPr>
        <sz val="12"/>
        <rFont val="Maiandra GD"/>
        <family val="2"/>
      </rPr>
      <t xml:space="preserve"> until payment in full.</t>
    </r>
  </si>
  <si>
    <t>Respondent's  Response To The  Statement Of Claim And Counterclaim(144.81 folios)</t>
  </si>
  <si>
    <r>
      <t xml:space="preserve">To receiving instructions to act on behalf of the Claimant to defend the Claimant against the Respondent's Counterclaim of </t>
    </r>
    <r>
      <rPr>
        <b/>
        <sz val="12"/>
        <rFont val="Maiandra GD"/>
        <family val="2"/>
      </rPr>
      <t>Kshs. 1,017,911,634.71</t>
    </r>
    <r>
      <rPr>
        <sz val="12"/>
        <rFont val="Maiandra GD"/>
        <family val="2"/>
      </rPr>
      <t xml:space="preserve"> broken down as follows:</t>
    </r>
  </si>
  <si>
    <r>
      <t xml:space="preserve">a. The distance from the Claimant Counsel's office to the Arbitrator's office is </t>
    </r>
    <r>
      <rPr>
        <b/>
        <sz val="12"/>
        <rFont val="Maiandra GD"/>
        <family val="2"/>
      </rPr>
      <t xml:space="preserve"> 12.7KM</t>
    </r>
  </si>
  <si>
    <r>
      <t xml:space="preserve">b. The distance from the Claimant Counsel's office to the Respondent's office is </t>
    </r>
    <r>
      <rPr>
        <b/>
        <sz val="12"/>
        <rFont val="Maiandra GD"/>
        <family val="2"/>
      </rPr>
      <t>5.0 KM</t>
    </r>
  </si>
  <si>
    <r>
      <t xml:space="preserve">i. General care and conduct of the matter; value of the subject matter being </t>
    </r>
    <r>
      <rPr>
        <b/>
        <sz val="12"/>
        <rFont val="Maiandra GD"/>
        <family val="2"/>
      </rPr>
      <t>Kshs. 221,268,881.47</t>
    </r>
  </si>
  <si>
    <r>
      <rPr>
        <b/>
        <u/>
        <sz val="12"/>
        <rFont val="Maiandra GD"/>
        <family val="2"/>
      </rPr>
      <t>DRAWN &amp; FILED BY</t>
    </r>
    <r>
      <rPr>
        <sz val="12"/>
        <rFont val="Maiandra GD"/>
        <family val="2"/>
      </rPr>
      <t xml:space="preserve">:
Nyagah B. Kithinji &amp; Co. Advocates
#205 Mbaruk Road, Off Mucai Drive
Golf Course Estate,
P.O. Box 1992-00100
</t>
    </r>
    <r>
      <rPr>
        <b/>
        <u/>
        <sz val="12"/>
        <rFont val="Maiandra GD"/>
        <family val="2"/>
      </rPr>
      <t>NAIROBI</t>
    </r>
    <r>
      <rPr>
        <sz val="12"/>
        <rFont val="Maiandra GD"/>
        <family val="2"/>
      </rPr>
      <t xml:space="preserve">
info@nbkco-advocates.com </t>
    </r>
  </si>
  <si>
    <r>
      <rPr>
        <b/>
        <u/>
        <sz val="12"/>
        <rFont val="Maiandra GD"/>
        <family val="2"/>
      </rPr>
      <t>TO BE FILED WITH:</t>
    </r>
    <r>
      <rPr>
        <sz val="12"/>
        <rFont val="Maiandra GD"/>
        <family val="2"/>
      </rPr>
      <t xml:space="preserve">
</t>
    </r>
    <r>
      <rPr>
        <b/>
        <sz val="12"/>
        <rFont val="Maiandra GD"/>
        <family val="2"/>
      </rPr>
      <t xml:space="preserve">Honourable Arbitrator
</t>
    </r>
    <r>
      <rPr>
        <sz val="12"/>
        <rFont val="Maiandra GD"/>
        <family val="2"/>
      </rPr>
      <t>Tom Onyango Oketch, FCIArb
Patom House, 13 Mukinduri Lane, Lang’ata
P.O Box 67819-00200</t>
    </r>
    <r>
      <rPr>
        <b/>
        <sz val="12"/>
        <rFont val="Maiandra GD"/>
        <family val="2"/>
      </rPr>
      <t xml:space="preserve">
</t>
    </r>
    <r>
      <rPr>
        <b/>
        <u/>
        <sz val="12"/>
        <rFont val="Maiandra GD"/>
        <family val="2"/>
      </rPr>
      <t>NAIROBI</t>
    </r>
    <r>
      <rPr>
        <b/>
        <sz val="12"/>
        <rFont val="Maiandra GD"/>
        <family val="2"/>
      </rPr>
      <t xml:space="preserve">
</t>
    </r>
    <r>
      <rPr>
        <sz val="12"/>
        <rFont val="Maiandra GD"/>
        <family val="2"/>
      </rPr>
      <t xml:space="preserve">toketch55@gmail.com  </t>
    </r>
    <r>
      <rPr>
        <b/>
        <sz val="12"/>
        <rFont val="Maiandra GD"/>
        <family val="2"/>
      </rPr>
      <t xml:space="preserve">
</t>
    </r>
  </si>
  <si>
    <r>
      <rPr>
        <b/>
        <u/>
        <sz val="12"/>
        <rFont val="Maiandra GD"/>
        <family val="2"/>
      </rPr>
      <t>TO BE SERVED UPON</t>
    </r>
    <r>
      <rPr>
        <sz val="12"/>
        <rFont val="Maiandra GD"/>
        <family val="2"/>
      </rPr>
      <t xml:space="preserve">
</t>
    </r>
    <r>
      <rPr>
        <b/>
        <sz val="12"/>
        <rFont val="Maiandra GD"/>
        <family val="2"/>
      </rPr>
      <t xml:space="preserve">B.M Musyoki &amp; Company Advocates
</t>
    </r>
    <r>
      <rPr>
        <sz val="12"/>
        <rFont val="Maiandra GD"/>
        <family val="2"/>
      </rPr>
      <t>Development House, 2nd Floor, Room 19
Moi Avenue
P.O Box 10903-00100</t>
    </r>
    <r>
      <rPr>
        <b/>
        <sz val="12"/>
        <rFont val="Maiandra GD"/>
        <family val="2"/>
      </rPr>
      <t xml:space="preserve">
</t>
    </r>
    <r>
      <rPr>
        <b/>
        <u/>
        <sz val="12"/>
        <rFont val="Maiandra GD"/>
        <family val="2"/>
      </rPr>
      <t>NAIROBI</t>
    </r>
    <r>
      <rPr>
        <b/>
        <sz val="12"/>
        <rFont val="Maiandra GD"/>
        <family val="2"/>
      </rPr>
      <t xml:space="preserve">
</t>
    </r>
    <r>
      <rPr>
        <sz val="12"/>
        <rFont val="Maiandra GD"/>
        <family val="2"/>
      </rPr>
      <t>bmusyokilaw@gmail.com</t>
    </r>
    <r>
      <rPr>
        <b/>
        <sz val="12"/>
        <rFont val="Maiandra GD"/>
        <family val="2"/>
      </rPr>
      <t xml:space="preserve">
</t>
    </r>
    <r>
      <rPr>
        <sz val="12"/>
        <rFont val="Maiandra GD"/>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</si>
</sst>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3">
    <font>
      <sz val="11"/>
      <color theme="1"/>
      <name val="Calibri"/>
      <charset val="134"/>
      <scheme val="minor"/>
    </font>
    <font>
      <u/>
      <sz val="11"/>
      <color rgb="FF0000FF"/>
      <name val="Calibri"/>
      <family val="2"/>
      <scheme val="minor"/>
    </font>
    <font>
      <sz val="11"/>
      <color theme="1"/>
      <name val="Calibri"/>
      <family val="2"/>
      <scheme val="minor"/>
    </font>
    <font>
      <sz val="12"/>
      <name val="Maiandra GD"/>
      <family val="2"/>
    </font>
    <font>
      <sz val="12"/>
      <color theme="1"/>
      <name val="Maiandra GD"/>
      <family val="2"/>
    </font>
    <font>
      <b/>
      <u/>
      <sz val="12"/>
      <color theme="1"/>
      <name val="Maiandra GD"/>
      <family val="2"/>
    </font>
    <font>
      <b/>
      <sz val="12"/>
      <color theme="1"/>
      <name val="Maiandra GD"/>
      <family val="2"/>
    </font>
    <font>
      <b/>
      <sz val="12"/>
      <name val="Maiandra GD"/>
      <family val="2"/>
    </font>
    <font>
      <b/>
      <u/>
      <sz val="12"/>
      <name val="Maiandra GD"/>
      <family val="2"/>
    </font>
    <font>
      <u/>
      <sz val="12"/>
      <name val="Maiandra GD"/>
      <family val="2"/>
    </font>
    <font>
      <sz val="12"/>
      <color rgb="FFFF0000"/>
      <name val="Maiandra GD"/>
      <family val="2"/>
    </font>
    <font>
      <b/>
      <i/>
      <u/>
      <sz val="12"/>
      <color theme="1"/>
      <name val="Maiandra GD"/>
      <family val="2"/>
    </font>
    <font>
      <b/>
      <sz val="12"/>
      <color rgb="FFFF0000"/>
      <name val="Maiandra GD"/>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3">
    <xf numFmtId="0" fontId="0" fillId="0" borderId="0"/>
    <xf numFmtId="43" fontId="2" fillId="0" borderId="0" applyFont="0" applyFill="0" applyBorder="0" applyAlignment="0" applyProtection="0"/>
    <xf numFmtId="0" fontId="1" fillId="0" borderId="0" applyNumberFormat="0" applyFill="0" applyBorder="0" applyAlignment="0" applyProtection="0">
      <alignment vertical="center"/>
    </xf>
  </cellStyleXfs>
  <cellXfs count="148">
    <xf numFmtId="0" fontId="0" fillId="0" borderId="0" xfId="0"/>
    <xf numFmtId="0" fontId="3" fillId="0" borderId="2" xfId="0" applyFont="1" applyFill="1" applyBorder="1" applyAlignment="1">
      <alignment wrapText="1"/>
    </xf>
    <xf numFmtId="0" fontId="3" fillId="2" borderId="0" xfId="0" applyFont="1" applyFill="1" applyBorder="1" applyAlignment="1">
      <alignment wrapText="1"/>
    </xf>
    <xf numFmtId="0" fontId="6" fillId="0" borderId="0" xfId="0" applyFont="1" applyBorder="1" applyAlignment="1">
      <alignment horizontal="center" wrapText="1"/>
    </xf>
    <xf numFmtId="0" fontId="6" fillId="0" borderId="2" xfId="0" applyFont="1" applyBorder="1" applyAlignment="1">
      <alignment wrapText="1"/>
    </xf>
    <xf numFmtId="0" fontId="4" fillId="0" borderId="2" xfId="0" applyNumberFormat="1" applyFont="1" applyBorder="1" applyAlignment="1">
      <alignment horizontal="center" wrapText="1"/>
    </xf>
    <xf numFmtId="0" fontId="7" fillId="0" borderId="2" xfId="0" applyFont="1" applyBorder="1" applyAlignment="1">
      <alignment horizontal="center" vertical="top" wrapText="1"/>
    </xf>
    <xf numFmtId="43" fontId="7" fillId="0" borderId="5" xfId="1" applyFont="1" applyBorder="1" applyAlignment="1">
      <alignment wrapText="1"/>
    </xf>
    <xf numFmtId="0" fontId="4" fillId="0" borderId="2" xfId="0" applyFont="1" applyBorder="1"/>
    <xf numFmtId="0" fontId="4" fillId="0" borderId="2" xfId="0" applyNumberFormat="1" applyFont="1" applyBorder="1" applyAlignment="1">
      <alignment horizontal="center"/>
    </xf>
    <xf numFmtId="0" fontId="3" fillId="0" borderId="2" xfId="0" applyFont="1" applyBorder="1" applyAlignment="1">
      <alignment wrapText="1"/>
    </xf>
    <xf numFmtId="43" fontId="3" fillId="0" borderId="5" xfId="1" applyFont="1" applyBorder="1"/>
    <xf numFmtId="0" fontId="4" fillId="0" borderId="2" xfId="0" applyFont="1" applyBorder="1" applyAlignment="1">
      <alignment wrapText="1"/>
    </xf>
    <xf numFmtId="43" fontId="4" fillId="0" borderId="2" xfId="1" applyFont="1" applyBorder="1" applyAlignment="1">
      <alignment wrapText="1"/>
    </xf>
    <xf numFmtId="43" fontId="4" fillId="0" borderId="2" xfId="0" applyNumberFormat="1" applyFont="1" applyBorder="1" applyAlignment="1">
      <alignment wrapText="1"/>
    </xf>
    <xf numFmtId="0" fontId="3" fillId="2" borderId="2" xfId="0" applyFont="1" applyFill="1" applyBorder="1" applyAlignment="1">
      <alignment wrapText="1"/>
    </xf>
    <xf numFmtId="0" fontId="3" fillId="0" borderId="2" xfId="0" applyFont="1" applyFill="1" applyBorder="1" applyAlignment="1">
      <alignment vertical="center" wrapText="1"/>
    </xf>
    <xf numFmtId="0" fontId="6" fillId="0" borderId="0" xfId="0" applyFont="1" applyBorder="1" applyAlignment="1"/>
    <xf numFmtId="0" fontId="3" fillId="0" borderId="0" xfId="0" applyFont="1"/>
    <xf numFmtId="0" fontId="3" fillId="0" borderId="2" xfId="0" applyFont="1" applyBorder="1"/>
    <xf numFmtId="0" fontId="7" fillId="0" borderId="2" xfId="0" applyFont="1" applyFill="1" applyBorder="1" applyAlignment="1">
      <alignment wrapText="1"/>
    </xf>
    <xf numFmtId="0" fontId="7" fillId="0" borderId="2" xfId="0" applyFont="1" applyBorder="1" applyAlignment="1">
      <alignment wrapText="1"/>
    </xf>
    <xf numFmtId="0" fontId="3" fillId="2" borderId="2" xfId="0" applyFont="1" applyFill="1" applyBorder="1" applyAlignment="1">
      <alignment horizontal="left" vertical="center" wrapText="1"/>
    </xf>
    <xf numFmtId="0" fontId="3" fillId="0" borderId="0" xfId="0" applyFont="1" applyFill="1" applyAlignment="1">
      <alignment vertical="center" wrapText="1"/>
    </xf>
    <xf numFmtId="0" fontId="7" fillId="2" borderId="2" xfId="0" applyFont="1" applyFill="1" applyBorder="1" applyAlignment="1">
      <alignment wrapText="1"/>
    </xf>
    <xf numFmtId="0" fontId="3" fillId="0" borderId="2" xfId="0" applyFont="1" applyBorder="1" applyAlignment="1">
      <alignment vertical="center" wrapText="1"/>
    </xf>
    <xf numFmtId="0" fontId="3" fillId="0" borderId="3" xfId="0" applyFont="1" applyBorder="1" applyAlignment="1">
      <alignment wrapText="1"/>
    </xf>
    <xf numFmtId="0" fontId="7" fillId="2" borderId="2" xfId="0" applyFont="1" applyFill="1" applyBorder="1" applyAlignment="1">
      <alignment horizontal="left" wrapText="1"/>
    </xf>
    <xf numFmtId="0" fontId="3" fillId="0" borderId="2" xfId="0" applyFont="1" applyBorder="1" applyAlignment="1">
      <alignment horizontal="left" wrapText="1"/>
    </xf>
    <xf numFmtId="0" fontId="3" fillId="0" borderId="2" xfId="0" applyFont="1" applyFill="1" applyBorder="1" applyAlignment="1">
      <alignment horizontal="left" wrapText="1"/>
    </xf>
    <xf numFmtId="0" fontId="7" fillId="0" borderId="2" xfId="0" applyFont="1" applyFill="1" applyBorder="1" applyAlignment="1">
      <alignment horizontal="left" wrapText="1"/>
    </xf>
    <xf numFmtId="14" fontId="3" fillId="0" borderId="2" xfId="0" applyNumberFormat="1" applyFont="1" applyFill="1" applyBorder="1" applyAlignment="1">
      <alignment wrapText="1"/>
    </xf>
    <xf numFmtId="0" fontId="7" fillId="0" borderId="4" xfId="0" applyFont="1" applyBorder="1" applyAlignment="1">
      <alignment wrapText="1"/>
    </xf>
    <xf numFmtId="0" fontId="3" fillId="0" borderId="4" xfId="0" applyFont="1" applyBorder="1" applyAlignment="1">
      <alignment wrapText="1"/>
    </xf>
    <xf numFmtId="0" fontId="3" fillId="0" borderId="2" xfId="0" applyFont="1" applyFill="1" applyBorder="1" applyAlignment="1">
      <alignment horizontal="left" vertical="top" wrapText="1"/>
    </xf>
    <xf numFmtId="0" fontId="7" fillId="0" borderId="0" xfId="0" applyFont="1" applyFill="1" applyBorder="1" applyAlignment="1">
      <alignment wrapText="1"/>
    </xf>
    <xf numFmtId="0" fontId="3" fillId="0" borderId="0" xfId="0" applyFont="1" applyBorder="1" applyAlignment="1">
      <alignment wrapText="1"/>
    </xf>
    <xf numFmtId="0" fontId="3" fillId="2" borderId="0" xfId="0" applyFont="1" applyFill="1" applyAlignment="1">
      <alignment vertical="center" wrapText="1"/>
    </xf>
    <xf numFmtId="14" fontId="3" fillId="2" borderId="2" xfId="0" applyNumberFormat="1" applyFont="1" applyFill="1" applyBorder="1" applyAlignment="1">
      <alignment wrapText="1"/>
    </xf>
    <xf numFmtId="0" fontId="7" fillId="0" borderId="0" xfId="0" applyFont="1" applyBorder="1" applyAlignment="1">
      <alignment wrapText="1"/>
    </xf>
    <xf numFmtId="0" fontId="3" fillId="0" borderId="0" xfId="0" applyFont="1" applyFill="1" applyAlignment="1">
      <alignment vertical="center"/>
    </xf>
    <xf numFmtId="0" fontId="7" fillId="2" borderId="4" xfId="0" applyFont="1" applyFill="1" applyBorder="1" applyAlignment="1">
      <alignment wrapText="1"/>
    </xf>
    <xf numFmtId="0" fontId="3" fillId="2" borderId="4" xfId="0" applyFont="1" applyFill="1" applyBorder="1" applyAlignment="1">
      <alignment wrapText="1"/>
    </xf>
    <xf numFmtId="0" fontId="7" fillId="2" borderId="2" xfId="0" applyFont="1" applyFill="1" applyBorder="1"/>
    <xf numFmtId="0" fontId="3" fillId="0" borderId="2" xfId="0" applyFont="1" applyFill="1" applyBorder="1"/>
    <xf numFmtId="0" fontId="7" fillId="0" borderId="0" xfId="0" applyFont="1" applyAlignment="1">
      <alignment horizontal="justify" vertical="center"/>
    </xf>
    <xf numFmtId="0" fontId="3" fillId="2" borderId="6" xfId="0" applyFont="1" applyFill="1" applyBorder="1" applyAlignment="1">
      <alignment horizontal="justify" vertical="center"/>
    </xf>
    <xf numFmtId="0" fontId="3" fillId="0" borderId="2" xfId="0" applyFont="1" applyBorder="1" applyAlignment="1">
      <alignment horizontal="justify" vertical="center"/>
    </xf>
    <xf numFmtId="0" fontId="3" fillId="0" borderId="4" xfId="0" applyFont="1" applyBorder="1" applyAlignment="1">
      <alignment horizontal="justify" vertical="center"/>
    </xf>
    <xf numFmtId="0" fontId="7" fillId="2" borderId="0" xfId="0" applyFont="1" applyFill="1" applyBorder="1"/>
    <xf numFmtId="0" fontId="7" fillId="2" borderId="0" xfId="0" applyFont="1" applyFill="1" applyBorder="1" applyAlignment="1">
      <alignment horizontal="center" wrapText="1"/>
    </xf>
    <xf numFmtId="0" fontId="3" fillId="0" borderId="0" xfId="0" applyFont="1" applyBorder="1" applyAlignment="1">
      <alignment horizontal="left" wrapText="1"/>
    </xf>
    <xf numFmtId="0" fontId="8" fillId="0" borderId="0" xfId="0" applyFont="1" applyBorder="1" applyAlignment="1">
      <alignment horizontal="justify" vertical="center"/>
    </xf>
    <xf numFmtId="0" fontId="7" fillId="0" borderId="0" xfId="0" applyFont="1" applyBorder="1" applyAlignment="1">
      <alignment horizontal="justify" vertical="center"/>
    </xf>
    <xf numFmtId="0" fontId="3" fillId="0" borderId="0" xfId="0" applyFont="1" applyBorder="1" applyAlignment="1">
      <alignment horizontal="justify" vertical="center"/>
    </xf>
    <xf numFmtId="0" fontId="9" fillId="0" borderId="0" xfId="2" applyFont="1" applyBorder="1" applyAlignment="1">
      <alignment horizontal="justify" vertical="center"/>
    </xf>
    <xf numFmtId="0" fontId="3" fillId="0" borderId="0" xfId="0" applyFont="1" applyBorder="1"/>
    <xf numFmtId="14" fontId="3" fillId="0" borderId="2" xfId="0" applyNumberFormat="1" applyFont="1" applyFill="1" applyBorder="1"/>
    <xf numFmtId="0" fontId="6" fillId="0" borderId="0" xfId="0" applyFont="1" applyAlignment="1">
      <alignment horizontal="center" wrapText="1"/>
    </xf>
    <xf numFmtId="0" fontId="4" fillId="0" borderId="0" xfId="0" applyFont="1"/>
    <xf numFmtId="0" fontId="6" fillId="0" borderId="0" xfId="0" applyFont="1" applyBorder="1" applyAlignment="1">
      <alignment horizontal="center"/>
    </xf>
    <xf numFmtId="0" fontId="4" fillId="0" borderId="0" xfId="0" applyFont="1" applyBorder="1"/>
    <xf numFmtId="43" fontId="6" fillId="0" borderId="0" xfId="1" applyFont="1" applyBorder="1" applyAlignment="1"/>
    <xf numFmtId="0" fontId="5" fillId="0" borderId="0" xfId="0" applyFont="1" applyBorder="1" applyAlignment="1">
      <alignment horizontal="center"/>
    </xf>
    <xf numFmtId="14" fontId="10" fillId="0" borderId="0" xfId="0" applyNumberFormat="1" applyFont="1"/>
    <xf numFmtId="10" fontId="10" fillId="0" borderId="0" xfId="0" applyNumberFormat="1" applyFont="1"/>
    <xf numFmtId="0" fontId="10" fillId="0" borderId="0" xfId="0" applyFont="1"/>
    <xf numFmtId="43" fontId="10" fillId="0" borderId="0" xfId="1" applyFont="1"/>
    <xf numFmtId="0" fontId="11" fillId="0" borderId="0" xfId="0" applyFont="1" applyBorder="1" applyAlignment="1">
      <alignment horizontal="center"/>
    </xf>
    <xf numFmtId="14" fontId="10" fillId="0" borderId="0" xfId="0" applyNumberFormat="1" applyFont="1" applyBorder="1"/>
    <xf numFmtId="10" fontId="10" fillId="0" borderId="0" xfId="0" applyNumberFormat="1" applyFont="1" applyBorder="1"/>
    <xf numFmtId="0" fontId="10" fillId="0" borderId="0" xfId="0" applyFont="1" applyBorder="1"/>
    <xf numFmtId="0" fontId="4" fillId="0" borderId="0" xfId="0" applyNumberFormat="1" applyFont="1" applyAlignment="1">
      <alignment horizontal="center"/>
    </xf>
    <xf numFmtId="43" fontId="3" fillId="0" borderId="0" xfId="1" applyFont="1"/>
    <xf numFmtId="43" fontId="10" fillId="0" borderId="0" xfId="0" applyNumberFormat="1" applyFont="1"/>
    <xf numFmtId="43" fontId="12" fillId="0" borderId="0" xfId="0" applyNumberFormat="1" applyFont="1" applyAlignment="1">
      <alignment wrapText="1"/>
    </xf>
    <xf numFmtId="0" fontId="12" fillId="0" borderId="0" xfId="0" applyFont="1" applyAlignment="1">
      <alignment wrapText="1"/>
    </xf>
    <xf numFmtId="0" fontId="6" fillId="0" borderId="0" xfId="0" applyFont="1" applyAlignment="1">
      <alignment wrapText="1"/>
    </xf>
    <xf numFmtId="43" fontId="4" fillId="0" borderId="0" xfId="1" applyFont="1"/>
    <xf numFmtId="43" fontId="4" fillId="0" borderId="0" xfId="0" applyNumberFormat="1" applyFont="1"/>
    <xf numFmtId="0" fontId="6" fillId="0" borderId="2" xfId="0" applyNumberFormat="1" applyFont="1" applyBorder="1" applyAlignment="1">
      <alignment horizontal="center"/>
    </xf>
    <xf numFmtId="14" fontId="4" fillId="0" borderId="2" xfId="0" applyNumberFormat="1" applyFont="1" applyFill="1" applyBorder="1"/>
    <xf numFmtId="43" fontId="3" fillId="0" borderId="5" xfId="1" applyFont="1" applyFill="1" applyBorder="1"/>
    <xf numFmtId="0" fontId="4" fillId="0" borderId="2" xfId="0" applyFont="1" applyFill="1" applyBorder="1"/>
    <xf numFmtId="0" fontId="4" fillId="0" borderId="0" xfId="0" applyFont="1" applyFill="1"/>
    <xf numFmtId="0" fontId="4" fillId="0" borderId="2" xfId="0" applyNumberFormat="1" applyFont="1" applyFill="1" applyBorder="1" applyAlignment="1">
      <alignment horizontal="center"/>
    </xf>
    <xf numFmtId="43" fontId="4" fillId="0" borderId="2" xfId="1" applyFont="1" applyFill="1" applyBorder="1"/>
    <xf numFmtId="14" fontId="4" fillId="2" borderId="2" xfId="0" applyNumberFormat="1" applyFont="1" applyFill="1" applyBorder="1"/>
    <xf numFmtId="0" fontId="4" fillId="2" borderId="2" xfId="0" applyNumberFormat="1" applyFont="1" applyFill="1" applyBorder="1" applyAlignment="1">
      <alignment horizontal="center"/>
    </xf>
    <xf numFmtId="43" fontId="3" fillId="2" borderId="5" xfId="1" applyFont="1" applyFill="1" applyBorder="1"/>
    <xf numFmtId="0" fontId="4" fillId="2" borderId="2" xfId="0" applyFont="1" applyFill="1" applyBorder="1"/>
    <xf numFmtId="0" fontId="4" fillId="2" borderId="0" xfId="0" applyFont="1" applyFill="1"/>
    <xf numFmtId="14" fontId="10" fillId="2" borderId="2" xfId="0" applyNumberFormat="1" applyFont="1" applyFill="1" applyBorder="1"/>
    <xf numFmtId="0" fontId="4" fillId="2" borderId="1" xfId="0" applyNumberFormat="1" applyFont="1" applyFill="1" applyBorder="1" applyAlignment="1">
      <alignment horizontal="center"/>
    </xf>
    <xf numFmtId="0" fontId="4" fillId="2" borderId="0" xfId="0" applyNumberFormat="1" applyFont="1" applyFill="1" applyAlignment="1">
      <alignment horizontal="center"/>
    </xf>
    <xf numFmtId="43" fontId="3" fillId="0" borderId="7" xfId="1" applyFont="1" applyBorder="1"/>
    <xf numFmtId="0" fontId="4" fillId="0" borderId="6" xfId="0" applyFont="1" applyBorder="1"/>
    <xf numFmtId="14" fontId="4" fillId="0" borderId="2" xfId="0" applyNumberFormat="1" applyFont="1" applyBorder="1"/>
    <xf numFmtId="43" fontId="3" fillId="0" borderId="2" xfId="1" applyFont="1" applyBorder="1"/>
    <xf numFmtId="0" fontId="4" fillId="0" borderId="8" xfId="0" applyFont="1" applyBorder="1"/>
    <xf numFmtId="0" fontId="6" fillId="2" borderId="2" xfId="0" applyNumberFormat="1" applyFont="1" applyFill="1" applyBorder="1" applyAlignment="1">
      <alignment horizontal="center"/>
    </xf>
    <xf numFmtId="0" fontId="6" fillId="0" borderId="2" xfId="0" applyNumberFormat="1" applyFont="1" applyFill="1" applyBorder="1" applyAlignment="1">
      <alignment horizontal="center"/>
    </xf>
    <xf numFmtId="0" fontId="4" fillId="0" borderId="2" xfId="0" applyFont="1" applyFill="1" applyBorder="1" applyAlignment="1">
      <alignment horizontal="center"/>
    </xf>
    <xf numFmtId="0" fontId="4" fillId="0" borderId="1" xfId="0" applyFont="1" applyBorder="1"/>
    <xf numFmtId="0" fontId="4" fillId="0" borderId="1" xfId="0" applyNumberFormat="1" applyFont="1" applyBorder="1" applyAlignment="1">
      <alignment horizontal="center"/>
    </xf>
    <xf numFmtId="0" fontId="4" fillId="0" borderId="4" xfId="0" applyNumberFormat="1" applyFont="1" applyBorder="1" applyAlignment="1">
      <alignment horizontal="center"/>
    </xf>
    <xf numFmtId="14" fontId="4" fillId="0" borderId="2" xfId="0" applyNumberFormat="1" applyFont="1" applyFill="1" applyBorder="1" applyAlignment="1"/>
    <xf numFmtId="43" fontId="3" fillId="0" borderId="5" xfId="1" applyFont="1" applyFill="1" applyBorder="1" applyAlignment="1"/>
    <xf numFmtId="0" fontId="4" fillId="0" borderId="2" xfId="0" applyFont="1" applyFill="1" applyBorder="1" applyAlignment="1"/>
    <xf numFmtId="0" fontId="4" fillId="0" borderId="0" xfId="0" applyFont="1" applyFill="1" applyAlignment="1"/>
    <xf numFmtId="14" fontId="4" fillId="0" borderId="2" xfId="0" applyNumberFormat="1" applyFont="1" applyFill="1" applyBorder="1" applyAlignment="1">
      <alignment wrapText="1"/>
    </xf>
    <xf numFmtId="0" fontId="6" fillId="0" borderId="0" xfId="0" applyNumberFormat="1" applyFont="1" applyFill="1" applyBorder="1" applyAlignment="1">
      <alignment horizontal="center"/>
    </xf>
    <xf numFmtId="0" fontId="6" fillId="0" borderId="2" xfId="0" applyNumberFormat="1" applyFont="1" applyFill="1" applyBorder="1" applyAlignment="1">
      <alignment horizontal="center" wrapText="1"/>
    </xf>
    <xf numFmtId="14" fontId="4" fillId="2" borderId="2" xfId="0" applyNumberFormat="1" applyFont="1" applyFill="1" applyBorder="1" applyAlignment="1">
      <alignment wrapText="1"/>
    </xf>
    <xf numFmtId="0" fontId="4" fillId="0" borderId="2" xfId="0" applyNumberFormat="1" applyFont="1" applyFill="1" applyBorder="1" applyAlignment="1">
      <alignment horizontal="center" wrapText="1"/>
    </xf>
    <xf numFmtId="0" fontId="4" fillId="0" borderId="2" xfId="0" applyFont="1" applyFill="1" applyBorder="1" applyAlignment="1">
      <alignment wrapText="1"/>
    </xf>
    <xf numFmtId="0" fontId="4" fillId="2" borderId="2" xfId="0" applyNumberFormat="1" applyFont="1" applyFill="1" applyBorder="1" applyAlignment="1">
      <alignment horizontal="center" wrapText="1"/>
    </xf>
    <xf numFmtId="0" fontId="3" fillId="2" borderId="2" xfId="0" applyNumberFormat="1" applyFont="1" applyFill="1" applyBorder="1" applyAlignment="1">
      <alignment horizontal="center" wrapText="1"/>
    </xf>
    <xf numFmtId="0" fontId="3" fillId="2" borderId="2" xfId="0" applyFont="1" applyFill="1" applyBorder="1"/>
    <xf numFmtId="0" fontId="3" fillId="2" borderId="0" xfId="0" applyFont="1" applyFill="1"/>
    <xf numFmtId="14" fontId="4" fillId="0" borderId="0" xfId="0" applyNumberFormat="1" applyFont="1" applyFill="1" applyBorder="1" applyAlignment="1">
      <alignment wrapText="1"/>
    </xf>
    <xf numFmtId="14" fontId="4" fillId="0" borderId="0" xfId="0" applyNumberFormat="1" applyFont="1" applyBorder="1"/>
    <xf numFmtId="14" fontId="4" fillId="0" borderId="1" xfId="0" applyNumberFormat="1" applyFont="1" applyBorder="1"/>
    <xf numFmtId="0" fontId="10" fillId="2" borderId="2" xfId="0" applyFont="1" applyFill="1" applyBorder="1" applyAlignment="1">
      <alignment wrapText="1"/>
    </xf>
    <xf numFmtId="14" fontId="10" fillId="2" borderId="2" xfId="0" applyNumberFormat="1" applyFont="1" applyFill="1" applyBorder="1" applyAlignment="1">
      <alignment wrapText="1"/>
    </xf>
    <xf numFmtId="0" fontId="4" fillId="0" borderId="4" xfId="0" applyFont="1" applyBorder="1"/>
    <xf numFmtId="0" fontId="6" fillId="0" borderId="0" xfId="0" applyNumberFormat="1" applyFont="1" applyBorder="1" applyAlignment="1">
      <alignment horizontal="center"/>
    </xf>
    <xf numFmtId="0" fontId="4" fillId="2" borderId="0" xfId="0" applyNumberFormat="1" applyFont="1" applyFill="1"/>
    <xf numFmtId="0" fontId="4" fillId="2" borderId="2" xfId="0" applyFont="1" applyFill="1" applyBorder="1" applyAlignment="1">
      <alignment horizontal="center"/>
    </xf>
    <xf numFmtId="14" fontId="4" fillId="2" borderId="1" xfId="0" applyNumberFormat="1" applyFont="1" applyFill="1" applyBorder="1"/>
    <xf numFmtId="0" fontId="6" fillId="2" borderId="4" xfId="0" applyNumberFormat="1" applyFont="1" applyFill="1" applyBorder="1" applyAlignment="1">
      <alignment horizontal="center"/>
    </xf>
    <xf numFmtId="0" fontId="12" fillId="2" borderId="2" xfId="0" applyFont="1" applyFill="1" applyBorder="1" applyAlignment="1">
      <alignment wrapText="1"/>
    </xf>
    <xf numFmtId="0" fontId="3" fillId="0" borderId="2" xfId="0" applyNumberFormat="1" applyFont="1" applyFill="1" applyBorder="1" applyAlignment="1">
      <alignment horizontal="center"/>
    </xf>
    <xf numFmtId="14" fontId="6" fillId="2" borderId="2" xfId="0" applyNumberFormat="1" applyFont="1" applyFill="1" applyBorder="1"/>
    <xf numFmtId="43" fontId="7" fillId="2" borderId="5" xfId="1" applyFont="1" applyFill="1" applyBorder="1"/>
    <xf numFmtId="0" fontId="6" fillId="2" borderId="0" xfId="0" applyFont="1" applyFill="1"/>
    <xf numFmtId="14" fontId="3" fillId="0" borderId="2" xfId="0" applyNumberFormat="1" applyFont="1" applyBorder="1"/>
    <xf numFmtId="0" fontId="3" fillId="0" borderId="2" xfId="0" applyNumberFormat="1" applyFont="1" applyBorder="1" applyAlignment="1">
      <alignment horizontal="center"/>
    </xf>
    <xf numFmtId="0" fontId="4" fillId="0" borderId="5" xfId="0" applyNumberFormat="1" applyFont="1" applyBorder="1" applyAlignment="1">
      <alignment horizontal="center"/>
    </xf>
    <xf numFmtId="43" fontId="4" fillId="0" borderId="2" xfId="0" applyNumberFormat="1" applyFont="1" applyBorder="1"/>
    <xf numFmtId="43" fontId="7" fillId="0" borderId="2" xfId="1" applyFont="1" applyBorder="1"/>
    <xf numFmtId="0" fontId="4" fillId="2" borderId="0" xfId="0" applyFont="1" applyFill="1" applyBorder="1"/>
    <xf numFmtId="0" fontId="4" fillId="2" borderId="0" xfId="0" applyNumberFormat="1" applyFont="1" applyFill="1" applyBorder="1" applyAlignment="1">
      <alignment horizontal="center"/>
    </xf>
    <xf numFmtId="43" fontId="3" fillId="0" borderId="0" xfId="1" applyFont="1" applyBorder="1"/>
    <xf numFmtId="0" fontId="7" fillId="2" borderId="0" xfId="0" applyFont="1" applyFill="1" applyBorder="1" applyAlignment="1">
      <alignment horizontal="center" wrapText="1"/>
    </xf>
    <xf numFmtId="43" fontId="7" fillId="2" borderId="0" xfId="1" applyFont="1" applyFill="1" applyBorder="1" applyAlignment="1">
      <alignment horizontal="center" wrapText="1"/>
    </xf>
    <xf numFmtId="0" fontId="4" fillId="0" borderId="0" xfId="0" applyNumberFormat="1" applyFont="1" applyBorder="1" applyAlignment="1">
      <alignment horizontal="center"/>
    </xf>
    <xf numFmtId="0" fontId="4" fillId="0" borderId="0" xfId="0" applyNumberFormat="1"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3"/>
  <sheetViews>
    <sheetView tabSelected="1" topLeftCell="A332" zoomScaleNormal="100" workbookViewId="0">
      <selection activeCell="F339" sqref="F339"/>
    </sheetView>
  </sheetViews>
  <sheetFormatPr defaultColWidth="9" defaultRowHeight="15.6"/>
  <cols>
    <col min="1" max="1" width="14.77734375" style="59" customWidth="1"/>
    <col min="2" max="2" width="11.88671875" style="72" customWidth="1"/>
    <col min="3" max="3" width="40.77734375" style="18" customWidth="1"/>
    <col min="4" max="4" width="18.88671875" style="73" customWidth="1"/>
    <col min="5" max="5" width="18.109375" style="59" customWidth="1"/>
    <col min="6" max="6" width="17.21875" style="59" customWidth="1"/>
    <col min="7" max="7" width="10.5546875" style="59" bestFit="1" customWidth="1"/>
    <col min="8" max="9" width="9" style="59"/>
    <col min="10" max="10" width="14.88671875" style="59" bestFit="1" customWidth="1"/>
    <col min="11" max="16384" width="9" style="59"/>
  </cols>
  <sheetData>
    <row r="1" spans="1:10" s="59" customFormat="1" ht="14.4" customHeight="1">
      <c r="A1" s="58" t="s">
        <v>0</v>
      </c>
      <c r="B1" s="58"/>
      <c r="C1" s="58"/>
      <c r="D1" s="58"/>
      <c r="E1" s="58"/>
    </row>
    <row r="2" spans="1:10" s="61" customFormat="1">
      <c r="A2" s="60" t="s">
        <v>1</v>
      </c>
      <c r="B2" s="60"/>
      <c r="C2" s="60"/>
      <c r="D2" s="60"/>
      <c r="E2" s="60"/>
    </row>
    <row r="3" spans="1:10" s="59" customFormat="1">
      <c r="A3" s="60" t="s">
        <v>2</v>
      </c>
      <c r="B3" s="60"/>
      <c r="C3" s="60"/>
      <c r="D3" s="60"/>
      <c r="E3" s="60"/>
    </row>
    <row r="4" spans="1:10" s="59" customFormat="1" ht="72" customHeight="1">
      <c r="A4" s="3" t="s">
        <v>57</v>
      </c>
      <c r="B4" s="3"/>
      <c r="C4" s="3"/>
      <c r="D4" s="3"/>
      <c r="E4" s="3"/>
    </row>
    <row r="5" spans="1:10" s="59" customFormat="1" ht="22.2" customHeight="1">
      <c r="A5" s="3" t="s">
        <v>3</v>
      </c>
      <c r="B5" s="3"/>
      <c r="C5" s="3"/>
      <c r="D5" s="3"/>
      <c r="E5" s="3"/>
    </row>
    <row r="6" spans="1:10" s="59" customFormat="1">
      <c r="A6" s="17" t="s">
        <v>58</v>
      </c>
      <c r="B6" s="17"/>
      <c r="C6" s="17"/>
      <c r="D6" s="62"/>
      <c r="E6" s="17"/>
    </row>
    <row r="7" spans="1:10" s="59" customFormat="1">
      <c r="A7" s="60" t="s">
        <v>2</v>
      </c>
      <c r="B7" s="60"/>
      <c r="C7" s="60"/>
      <c r="D7" s="60"/>
      <c r="E7" s="60"/>
    </row>
    <row r="8" spans="1:10" s="59" customFormat="1" ht="20.399999999999999" customHeight="1">
      <c r="A8" s="60" t="s">
        <v>59</v>
      </c>
      <c r="B8" s="60"/>
      <c r="C8" s="60"/>
      <c r="D8" s="60"/>
      <c r="E8" s="60"/>
    </row>
    <row r="9" spans="1:10" s="59" customFormat="1" ht="40.200000000000003" customHeight="1">
      <c r="A9" s="63" t="s">
        <v>4</v>
      </c>
      <c r="B9" s="63"/>
      <c r="C9" s="63"/>
      <c r="D9" s="63"/>
      <c r="E9" s="63"/>
      <c r="F9" s="64"/>
      <c r="G9" s="64"/>
      <c r="H9" s="65"/>
      <c r="I9" s="66"/>
      <c r="J9" s="67"/>
    </row>
    <row r="10" spans="1:10" s="61" customFormat="1" ht="16.8" customHeight="1">
      <c r="A10" s="68" t="s">
        <v>5</v>
      </c>
      <c r="B10" s="68"/>
      <c r="C10" s="68"/>
      <c r="D10" s="68"/>
      <c r="E10" s="68"/>
      <c r="F10" s="69"/>
      <c r="G10" s="69"/>
      <c r="H10" s="70"/>
      <c r="I10" s="71"/>
      <c r="J10" s="71"/>
    </row>
    <row r="11" spans="1:10" s="59" customFormat="1">
      <c r="B11" s="72"/>
      <c r="C11" s="18"/>
      <c r="D11" s="73"/>
      <c r="E11" s="66"/>
      <c r="F11" s="74"/>
      <c r="G11" s="66"/>
      <c r="H11" s="66"/>
      <c r="I11" s="66"/>
      <c r="J11" s="74"/>
    </row>
    <row r="12" spans="1:10" s="77" customFormat="1" ht="31.2">
      <c r="A12" s="4" t="s">
        <v>6</v>
      </c>
      <c r="B12" s="5" t="s">
        <v>7</v>
      </c>
      <c r="C12" s="6" t="s">
        <v>8</v>
      </c>
      <c r="D12" s="7" t="s">
        <v>9</v>
      </c>
      <c r="E12" s="4" t="s">
        <v>269</v>
      </c>
      <c r="F12" s="75"/>
      <c r="G12" s="76"/>
    </row>
    <row r="13" spans="1:10" s="77" customFormat="1">
      <c r="A13" s="4"/>
      <c r="B13" s="5" t="s">
        <v>10</v>
      </c>
      <c r="C13" s="6" t="s">
        <v>11</v>
      </c>
      <c r="D13" s="7"/>
      <c r="E13" s="4"/>
    </row>
    <row r="14" spans="1:10" s="59" customFormat="1" ht="62.4">
      <c r="A14" s="8"/>
      <c r="B14" s="9">
        <v>1</v>
      </c>
      <c r="C14" s="10" t="s">
        <v>12</v>
      </c>
      <c r="D14" s="11">
        <f>120000+2%*(20000000-1000000)+1.5%*(221268881.47-20000000)</f>
        <v>3519033.22205</v>
      </c>
      <c r="E14" s="12"/>
      <c r="J14" s="78"/>
    </row>
    <row r="15" spans="1:10" s="59" customFormat="1" ht="66" customHeight="1">
      <c r="A15" s="8"/>
      <c r="B15" s="9"/>
      <c r="C15" s="10" t="s">
        <v>68</v>
      </c>
      <c r="D15" s="11"/>
      <c r="E15" s="13"/>
      <c r="F15" s="79"/>
      <c r="J15" s="78"/>
    </row>
    <row r="16" spans="1:10" s="59" customFormat="1" ht="46.8">
      <c r="A16" s="8"/>
      <c r="B16" s="9"/>
      <c r="C16" s="10" t="s">
        <v>60</v>
      </c>
      <c r="D16" s="11"/>
      <c r="E16" s="14"/>
      <c r="J16" s="78"/>
    </row>
    <row r="17" spans="1:6" s="59" customFormat="1" ht="46.8">
      <c r="A17" s="8"/>
      <c r="B17" s="9"/>
      <c r="C17" s="10" t="s">
        <v>61</v>
      </c>
      <c r="D17" s="11"/>
      <c r="E17" s="8"/>
      <c r="F17" s="78"/>
    </row>
    <row r="18" spans="1:6" s="59" customFormat="1" ht="78">
      <c r="A18" s="8"/>
      <c r="B18" s="9"/>
      <c r="C18" s="10" t="s">
        <v>62</v>
      </c>
      <c r="D18" s="11"/>
      <c r="E18" s="8"/>
      <c r="F18" s="78"/>
    </row>
    <row r="19" spans="1:6" s="59" customFormat="1" ht="109.2">
      <c r="A19" s="8"/>
      <c r="B19" s="9"/>
      <c r="C19" s="10" t="s">
        <v>63</v>
      </c>
      <c r="D19" s="11"/>
      <c r="E19" s="8"/>
      <c r="F19" s="78"/>
    </row>
    <row r="20" spans="1:6" s="59" customFormat="1" ht="79.8" customHeight="1">
      <c r="A20" s="8"/>
      <c r="B20" s="9"/>
      <c r="C20" s="10" t="s">
        <v>65</v>
      </c>
      <c r="D20" s="11"/>
      <c r="E20" s="8"/>
      <c r="F20" s="78"/>
    </row>
    <row r="21" spans="1:6" s="59" customFormat="1" ht="65.400000000000006" customHeight="1">
      <c r="A21" s="8"/>
      <c r="B21" s="9"/>
      <c r="C21" s="10" t="s">
        <v>64</v>
      </c>
      <c r="D21" s="11"/>
      <c r="E21" s="8"/>
    </row>
    <row r="22" spans="1:6" s="59" customFormat="1" ht="46.8">
      <c r="A22" s="8"/>
      <c r="B22" s="9"/>
      <c r="C22" s="10" t="s">
        <v>66</v>
      </c>
      <c r="D22" s="11"/>
      <c r="E22" s="8"/>
    </row>
    <row r="23" spans="1:6" s="59" customFormat="1" ht="31.2">
      <c r="A23" s="8"/>
      <c r="B23" s="9"/>
      <c r="C23" s="10" t="s">
        <v>67</v>
      </c>
      <c r="D23" s="11"/>
      <c r="E23" s="8"/>
    </row>
    <row r="24" spans="1:6" s="59" customFormat="1" ht="62.4">
      <c r="A24" s="8"/>
      <c r="B24" s="9"/>
      <c r="C24" s="15" t="s">
        <v>284</v>
      </c>
      <c r="D24" s="11"/>
      <c r="E24" s="8"/>
    </row>
    <row r="25" spans="1:6" s="59" customFormat="1">
      <c r="A25" s="8"/>
      <c r="B25" s="9"/>
      <c r="C25" s="10" t="s">
        <v>13</v>
      </c>
      <c r="D25" s="11">
        <f>1/2*D14</f>
        <v>1759516.611025</v>
      </c>
      <c r="E25" s="8"/>
    </row>
    <row r="26" spans="1:6" s="59" customFormat="1">
      <c r="A26" s="8"/>
      <c r="B26" s="72"/>
      <c r="C26" s="19"/>
      <c r="D26" s="11"/>
      <c r="E26" s="8"/>
    </row>
    <row r="27" spans="1:6" s="59" customFormat="1" ht="31.2">
      <c r="A27" s="8"/>
      <c r="B27" s="80"/>
      <c r="C27" s="20" t="s">
        <v>14</v>
      </c>
      <c r="D27" s="11"/>
      <c r="E27" s="8"/>
    </row>
    <row r="28" spans="1:6" s="59" customFormat="1" ht="75" customHeight="1">
      <c r="A28" s="8"/>
      <c r="B28" s="9"/>
      <c r="C28" s="16" t="s">
        <v>286</v>
      </c>
      <c r="D28" s="11">
        <f>120000+2%*(20000000-1000000)+1.5%*(1017911634.71-20000000)</f>
        <v>15468674.520649999</v>
      </c>
      <c r="E28" s="8"/>
    </row>
    <row r="29" spans="1:6" s="59" customFormat="1" ht="34.799999999999997" customHeight="1">
      <c r="A29" s="8"/>
      <c r="B29" s="9"/>
      <c r="C29" s="1" t="s">
        <v>69</v>
      </c>
      <c r="D29" s="11"/>
      <c r="E29" s="8"/>
    </row>
    <row r="30" spans="1:6" s="59" customFormat="1" ht="31.2">
      <c r="A30" s="8"/>
      <c r="B30" s="9"/>
      <c r="C30" s="1" t="s">
        <v>70</v>
      </c>
      <c r="D30" s="11"/>
      <c r="E30" s="8"/>
    </row>
    <row r="31" spans="1:6" s="59" customFormat="1" ht="31.2">
      <c r="A31" s="8"/>
      <c r="B31" s="9"/>
      <c r="C31" s="1" t="s">
        <v>71</v>
      </c>
      <c r="D31" s="11"/>
      <c r="E31" s="8"/>
    </row>
    <row r="32" spans="1:6" s="59" customFormat="1" ht="31.2">
      <c r="A32" s="8"/>
      <c r="B32" s="9"/>
      <c r="C32" s="1" t="s">
        <v>72</v>
      </c>
      <c r="D32" s="11"/>
      <c r="E32" s="8"/>
    </row>
    <row r="33" spans="1:5" s="59" customFormat="1" ht="31.2">
      <c r="A33" s="8"/>
      <c r="B33" s="9"/>
      <c r="C33" s="1" t="s">
        <v>73</v>
      </c>
      <c r="D33" s="11"/>
      <c r="E33" s="8"/>
    </row>
    <row r="34" spans="1:5" s="59" customFormat="1" ht="31.2">
      <c r="A34" s="8"/>
      <c r="B34" s="9"/>
      <c r="C34" s="1" t="s">
        <v>74</v>
      </c>
      <c r="D34" s="11"/>
      <c r="E34" s="8"/>
    </row>
    <row r="35" spans="1:5" s="59" customFormat="1" ht="78">
      <c r="A35" s="8"/>
      <c r="B35" s="9"/>
      <c r="C35" s="1" t="s">
        <v>15</v>
      </c>
      <c r="D35" s="11"/>
      <c r="E35" s="8"/>
    </row>
    <row r="36" spans="1:5" s="59" customFormat="1" ht="46.8">
      <c r="A36" s="8"/>
      <c r="B36" s="9"/>
      <c r="C36" s="1" t="s">
        <v>16</v>
      </c>
      <c r="D36" s="11"/>
      <c r="E36" s="8"/>
    </row>
    <row r="37" spans="1:5" s="59" customFormat="1">
      <c r="A37" s="8"/>
      <c r="B37" s="9"/>
      <c r="C37" s="1" t="s">
        <v>17</v>
      </c>
      <c r="D37" s="11"/>
      <c r="E37" s="8"/>
    </row>
    <row r="38" spans="1:5" s="59" customFormat="1">
      <c r="A38" s="8"/>
      <c r="B38" s="9"/>
      <c r="C38" s="1"/>
      <c r="D38" s="11"/>
      <c r="E38" s="8"/>
    </row>
    <row r="39" spans="1:5" s="59" customFormat="1">
      <c r="A39" s="8"/>
      <c r="B39" s="9"/>
      <c r="C39" s="1" t="s">
        <v>13</v>
      </c>
      <c r="D39" s="11">
        <f>1/2*D28</f>
        <v>7734337.2603249997</v>
      </c>
      <c r="E39" s="8"/>
    </row>
    <row r="40" spans="1:5" s="59" customFormat="1">
      <c r="A40" s="8"/>
      <c r="B40" s="72"/>
      <c r="C40" s="10"/>
      <c r="D40" s="11"/>
      <c r="E40" s="8"/>
    </row>
    <row r="41" spans="1:5" s="84" customFormat="1" ht="31.2">
      <c r="A41" s="81"/>
      <c r="B41" s="80" t="s">
        <v>18</v>
      </c>
      <c r="C41" s="21" t="s">
        <v>19</v>
      </c>
      <c r="D41" s="82"/>
      <c r="E41" s="83"/>
    </row>
    <row r="42" spans="1:5" s="84" customFormat="1">
      <c r="B42" s="80" t="s">
        <v>20</v>
      </c>
      <c r="C42" s="21" t="s">
        <v>21</v>
      </c>
      <c r="D42" s="82"/>
      <c r="E42" s="83"/>
    </row>
    <row r="43" spans="1:5" s="84" customFormat="1" ht="31.2">
      <c r="A43" s="81">
        <v>45015</v>
      </c>
      <c r="B43" s="85">
        <v>2</v>
      </c>
      <c r="C43" s="10" t="s">
        <v>75</v>
      </c>
      <c r="D43" s="82">
        <f>1100+(150*11.42)</f>
        <v>2813</v>
      </c>
      <c r="E43" s="83"/>
    </row>
    <row r="44" spans="1:5" s="84" customFormat="1" ht="31.2">
      <c r="A44" s="81">
        <v>45114</v>
      </c>
      <c r="B44" s="85">
        <v>3</v>
      </c>
      <c r="C44" s="10" t="s">
        <v>77</v>
      </c>
      <c r="D44" s="82">
        <f>1100+(150*2.84)</f>
        <v>1526</v>
      </c>
      <c r="E44" s="83"/>
    </row>
    <row r="45" spans="1:5" s="84" customFormat="1" ht="31.2">
      <c r="A45" s="81">
        <v>45114</v>
      </c>
      <c r="B45" s="85">
        <v>4</v>
      </c>
      <c r="C45" s="10" t="s">
        <v>78</v>
      </c>
      <c r="D45" s="82">
        <f>1100+(150*16.62)</f>
        <v>3593</v>
      </c>
      <c r="E45" s="83"/>
    </row>
    <row r="46" spans="1:5" s="84" customFormat="1" ht="31.2">
      <c r="A46" s="81">
        <v>45631</v>
      </c>
      <c r="B46" s="85">
        <v>5</v>
      </c>
      <c r="C46" s="1" t="s">
        <v>79</v>
      </c>
      <c r="D46" s="82">
        <f>1100+(150*131.25)</f>
        <v>20787.5</v>
      </c>
      <c r="E46" s="86"/>
    </row>
    <row r="47" spans="1:5" s="84" customFormat="1" ht="21.6" customHeight="1">
      <c r="A47" s="81">
        <v>45631</v>
      </c>
      <c r="B47" s="85">
        <v>6</v>
      </c>
      <c r="C47" s="1" t="s">
        <v>80</v>
      </c>
      <c r="D47" s="82">
        <f>1100+(150*323.9)</f>
        <v>49685</v>
      </c>
      <c r="E47" s="83"/>
    </row>
    <row r="48" spans="1:5" s="91" customFormat="1" ht="62.4">
      <c r="A48" s="87">
        <v>45451</v>
      </c>
      <c r="B48" s="88">
        <v>7</v>
      </c>
      <c r="C48" s="22" t="s">
        <v>99</v>
      </c>
      <c r="D48" s="89">
        <f>1100+(150*78.1)</f>
        <v>12815</v>
      </c>
      <c r="E48" s="90"/>
    </row>
    <row r="49" spans="1:5" s="84" customFormat="1" ht="62.4">
      <c r="A49" s="81">
        <v>45467</v>
      </c>
      <c r="B49" s="85">
        <v>8</v>
      </c>
      <c r="C49" s="23" t="s">
        <v>100</v>
      </c>
      <c r="D49" s="82">
        <f>1100+(150*80.08)</f>
        <v>13112</v>
      </c>
      <c r="E49" s="83"/>
    </row>
    <row r="50" spans="1:5" s="84" customFormat="1" ht="46.8">
      <c r="A50" s="81">
        <v>45202</v>
      </c>
      <c r="B50" s="85">
        <v>9</v>
      </c>
      <c r="C50" s="1" t="s">
        <v>81</v>
      </c>
      <c r="D50" s="82">
        <f>1100+(150*30.29)</f>
        <v>5643.5</v>
      </c>
      <c r="E50" s="83"/>
    </row>
    <row r="51" spans="1:5" s="84" customFormat="1" ht="31.2">
      <c r="A51" s="81">
        <v>45015</v>
      </c>
      <c r="B51" s="85">
        <v>10</v>
      </c>
      <c r="C51" s="1" t="s">
        <v>101</v>
      </c>
      <c r="D51" s="82">
        <f>1100+(150*2.16)</f>
        <v>1424</v>
      </c>
      <c r="E51" s="83"/>
    </row>
    <row r="52" spans="1:5" s="84" customFormat="1" ht="31.2">
      <c r="A52" s="81">
        <v>45015</v>
      </c>
      <c r="B52" s="85">
        <v>11</v>
      </c>
      <c r="C52" s="1" t="s">
        <v>102</v>
      </c>
      <c r="D52" s="82">
        <v>1100</v>
      </c>
      <c r="E52" s="83"/>
    </row>
    <row r="53" spans="1:5" s="84" customFormat="1" ht="31.2">
      <c r="A53" s="81">
        <v>45015</v>
      </c>
      <c r="B53" s="85">
        <v>12</v>
      </c>
      <c r="C53" s="1" t="s">
        <v>76</v>
      </c>
      <c r="D53" s="82">
        <f>1100+(150*0.25)</f>
        <v>1137.5</v>
      </c>
      <c r="E53" s="83"/>
    </row>
    <row r="54" spans="1:5" s="91" customFormat="1" ht="31.2">
      <c r="A54" s="92"/>
      <c r="B54" s="93"/>
      <c r="C54" s="15" t="s">
        <v>217</v>
      </c>
      <c r="D54" s="89">
        <f>1100+(150*489.04)</f>
        <v>74456</v>
      </c>
      <c r="E54" s="90"/>
    </row>
    <row r="55" spans="1:5" s="59" customFormat="1" ht="16.2" customHeight="1">
      <c r="A55" s="61"/>
      <c r="B55" s="94"/>
      <c r="C55" s="2"/>
      <c r="D55" s="95"/>
      <c r="E55" s="96"/>
    </row>
    <row r="56" spans="1:5" s="59" customFormat="1" ht="31.2">
      <c r="A56" s="97"/>
      <c r="B56" s="9" t="s">
        <v>22</v>
      </c>
      <c r="C56" s="24" t="s">
        <v>23</v>
      </c>
      <c r="D56" s="98"/>
      <c r="E56" s="8"/>
    </row>
    <row r="57" spans="1:5" s="59" customFormat="1" ht="31.2">
      <c r="A57" s="97">
        <v>46036</v>
      </c>
      <c r="B57" s="9">
        <v>13</v>
      </c>
      <c r="C57" s="10" t="s">
        <v>231</v>
      </c>
      <c r="D57" s="11">
        <v>1000</v>
      </c>
      <c r="E57" s="8"/>
    </row>
    <row r="58" spans="1:5" s="59" customFormat="1" ht="46.8">
      <c r="A58" s="97">
        <v>46001</v>
      </c>
      <c r="B58" s="9">
        <v>14</v>
      </c>
      <c r="C58" s="25" t="s">
        <v>232</v>
      </c>
      <c r="D58" s="11">
        <v>1000</v>
      </c>
      <c r="E58" s="8"/>
    </row>
    <row r="59" spans="1:5" s="59" customFormat="1" ht="31.2">
      <c r="A59" s="97">
        <v>45985</v>
      </c>
      <c r="B59" s="9">
        <v>15</v>
      </c>
      <c r="C59" s="10" t="s">
        <v>233</v>
      </c>
      <c r="D59" s="11">
        <v>1000</v>
      </c>
      <c r="E59" s="8"/>
    </row>
    <row r="60" spans="1:5" s="59" customFormat="1" ht="46.8">
      <c r="A60" s="97">
        <v>45470</v>
      </c>
      <c r="B60" s="9">
        <v>16</v>
      </c>
      <c r="C60" s="10" t="s">
        <v>234</v>
      </c>
      <c r="D60" s="11">
        <v>1000</v>
      </c>
      <c r="E60" s="8"/>
    </row>
    <row r="61" spans="1:5" s="59" customFormat="1" ht="46.8">
      <c r="A61" s="97">
        <v>45427</v>
      </c>
      <c r="B61" s="9">
        <v>17</v>
      </c>
      <c r="C61" s="10" t="s">
        <v>235</v>
      </c>
      <c r="D61" s="11">
        <v>1000</v>
      </c>
      <c r="E61" s="8"/>
    </row>
    <row r="62" spans="1:5" s="59" customFormat="1" ht="31.2">
      <c r="A62" s="97">
        <v>45405</v>
      </c>
      <c r="B62" s="9">
        <v>18</v>
      </c>
      <c r="C62" s="10" t="s">
        <v>236</v>
      </c>
      <c r="D62" s="11">
        <v>1000</v>
      </c>
      <c r="E62" s="8"/>
    </row>
    <row r="63" spans="1:5" s="59" customFormat="1" ht="46.8">
      <c r="A63" s="97">
        <v>45405</v>
      </c>
      <c r="B63" s="9">
        <v>19</v>
      </c>
      <c r="C63" s="10" t="s">
        <v>237</v>
      </c>
      <c r="D63" s="11">
        <v>1000</v>
      </c>
      <c r="E63" s="8"/>
    </row>
    <row r="64" spans="1:5" s="59" customFormat="1" ht="62.4">
      <c r="A64" s="97">
        <v>45377</v>
      </c>
      <c r="B64" s="9">
        <v>20</v>
      </c>
      <c r="C64" s="10" t="s">
        <v>238</v>
      </c>
      <c r="D64" s="11">
        <v>1000</v>
      </c>
      <c r="E64" s="8"/>
    </row>
    <row r="65" spans="1:5" s="59" customFormat="1" ht="31.2">
      <c r="A65" s="97">
        <v>45210</v>
      </c>
      <c r="B65" s="9">
        <v>21</v>
      </c>
      <c r="C65" s="10" t="s">
        <v>239</v>
      </c>
      <c r="D65" s="11">
        <v>1000</v>
      </c>
      <c r="E65" s="8"/>
    </row>
    <row r="66" spans="1:5" s="59" customFormat="1" ht="31.2">
      <c r="A66" s="97">
        <v>45167</v>
      </c>
      <c r="B66" s="9">
        <v>22</v>
      </c>
      <c r="C66" s="10" t="s">
        <v>240</v>
      </c>
      <c r="D66" s="11">
        <v>1000</v>
      </c>
      <c r="E66" s="8"/>
    </row>
    <row r="67" spans="1:5" s="59" customFormat="1" ht="31.2">
      <c r="A67" s="97">
        <v>44965</v>
      </c>
      <c r="B67" s="9">
        <v>23</v>
      </c>
      <c r="C67" s="10" t="s">
        <v>241</v>
      </c>
      <c r="D67" s="11">
        <v>1000</v>
      </c>
      <c r="E67" s="8"/>
    </row>
    <row r="68" spans="1:5" s="59" customFormat="1" ht="46.8">
      <c r="A68" s="97">
        <v>44963</v>
      </c>
      <c r="B68" s="9">
        <v>24</v>
      </c>
      <c r="C68" s="10" t="s">
        <v>242</v>
      </c>
      <c r="D68" s="11">
        <v>1000</v>
      </c>
      <c r="E68" s="8"/>
    </row>
    <row r="69" spans="1:5" s="59" customFormat="1" ht="46.8">
      <c r="A69" s="97">
        <v>44963</v>
      </c>
      <c r="B69" s="9">
        <v>25</v>
      </c>
      <c r="C69" s="10" t="s">
        <v>243</v>
      </c>
      <c r="D69" s="11">
        <v>1000</v>
      </c>
      <c r="E69" s="8"/>
    </row>
    <row r="70" spans="1:5" s="59" customFormat="1" ht="31.2">
      <c r="A70" s="97">
        <v>44957</v>
      </c>
      <c r="B70" s="9">
        <v>26</v>
      </c>
      <c r="C70" s="10" t="s">
        <v>244</v>
      </c>
      <c r="D70" s="11">
        <v>1000</v>
      </c>
      <c r="E70" s="8"/>
    </row>
    <row r="71" spans="1:5" s="59" customFormat="1" ht="31.2">
      <c r="A71" s="97">
        <v>44950</v>
      </c>
      <c r="B71" s="9">
        <v>27</v>
      </c>
      <c r="C71" s="10" t="s">
        <v>40</v>
      </c>
      <c r="D71" s="11">
        <v>1000</v>
      </c>
      <c r="E71" s="8"/>
    </row>
    <row r="72" spans="1:5" s="59" customFormat="1" ht="46.8">
      <c r="A72" s="97">
        <v>44894</v>
      </c>
      <c r="B72" s="9">
        <v>28</v>
      </c>
      <c r="C72" s="10" t="s">
        <v>245</v>
      </c>
      <c r="D72" s="11">
        <v>1000</v>
      </c>
      <c r="E72" s="8"/>
    </row>
    <row r="73" spans="1:5" s="84" customFormat="1" ht="16.8" customHeight="1">
      <c r="A73" s="81">
        <v>45562</v>
      </c>
      <c r="B73" s="85">
        <v>29</v>
      </c>
      <c r="C73" s="10" t="s">
        <v>246</v>
      </c>
      <c r="D73" s="11">
        <v>1000</v>
      </c>
      <c r="E73" s="83"/>
    </row>
    <row r="74" spans="1:5" s="84" customFormat="1">
      <c r="A74" s="81">
        <v>44785</v>
      </c>
      <c r="B74" s="85">
        <v>30</v>
      </c>
      <c r="C74" s="10" t="s">
        <v>247</v>
      </c>
      <c r="D74" s="11">
        <v>1000</v>
      </c>
      <c r="E74" s="83"/>
    </row>
    <row r="75" spans="1:5" s="59" customFormat="1">
      <c r="A75" s="99"/>
      <c r="B75" s="72"/>
      <c r="C75" s="26"/>
      <c r="D75" s="11"/>
      <c r="E75" s="8"/>
    </row>
    <row r="76" spans="1:5" s="84" customFormat="1" ht="31.2">
      <c r="A76" s="97"/>
      <c r="B76" s="80" t="s">
        <v>24</v>
      </c>
      <c r="C76" s="21" t="s">
        <v>25</v>
      </c>
      <c r="D76" s="82"/>
      <c r="E76" s="83"/>
    </row>
    <row r="77" spans="1:5" s="84" customFormat="1">
      <c r="A77" s="81"/>
      <c r="B77" s="100" t="s">
        <v>20</v>
      </c>
      <c r="C77" s="27" t="s">
        <v>26</v>
      </c>
      <c r="D77" s="82"/>
      <c r="E77" s="83"/>
    </row>
    <row r="78" spans="1:5" s="84" customFormat="1" ht="31.2">
      <c r="A78" s="81">
        <v>46044</v>
      </c>
      <c r="B78" s="85">
        <v>31</v>
      </c>
      <c r="C78" s="28" t="s">
        <v>270</v>
      </c>
      <c r="D78" s="82">
        <f>50*2</f>
        <v>100</v>
      </c>
      <c r="E78" s="83"/>
    </row>
    <row r="79" spans="1:5" s="84" customFormat="1" ht="31.2">
      <c r="A79" s="81">
        <v>46042</v>
      </c>
      <c r="B79" s="85">
        <v>32</v>
      </c>
      <c r="C79" s="29" t="s">
        <v>218</v>
      </c>
      <c r="D79" s="82">
        <f>50*2.3</f>
        <v>114.99999999999999</v>
      </c>
      <c r="E79" s="83"/>
    </row>
    <row r="80" spans="1:5" s="84" customFormat="1" ht="31.2">
      <c r="A80" s="81">
        <v>46028</v>
      </c>
      <c r="B80" s="85">
        <v>33</v>
      </c>
      <c r="C80" s="29" t="s">
        <v>248</v>
      </c>
      <c r="D80" s="82">
        <f>50*1.89</f>
        <v>94.5</v>
      </c>
      <c r="E80" s="83"/>
    </row>
    <row r="81" spans="1:5" s="84" customFormat="1" ht="46.8">
      <c r="A81" s="81">
        <v>45989</v>
      </c>
      <c r="B81" s="85">
        <v>34</v>
      </c>
      <c r="C81" s="29" t="s">
        <v>249</v>
      </c>
      <c r="D81" s="82">
        <f>50*2.02</f>
        <v>101</v>
      </c>
      <c r="E81" s="83"/>
    </row>
    <row r="82" spans="1:5" s="84" customFormat="1" ht="31.2">
      <c r="A82" s="81">
        <v>45432</v>
      </c>
      <c r="B82" s="85">
        <v>35</v>
      </c>
      <c r="C82" s="29" t="s">
        <v>250</v>
      </c>
      <c r="D82" s="82">
        <f>50*3</f>
        <v>150</v>
      </c>
      <c r="E82" s="83"/>
    </row>
    <row r="83" spans="1:5" s="84" customFormat="1" ht="31.2">
      <c r="A83" s="81">
        <v>45425</v>
      </c>
      <c r="B83" s="85">
        <v>36</v>
      </c>
      <c r="C83" s="29" t="s">
        <v>251</v>
      </c>
      <c r="D83" s="82">
        <v>50</v>
      </c>
      <c r="E83" s="83"/>
    </row>
    <row r="84" spans="1:5" s="84" customFormat="1" ht="31.2">
      <c r="A84" s="81">
        <v>45385</v>
      </c>
      <c r="B84" s="85">
        <v>37</v>
      </c>
      <c r="C84" s="29" t="s">
        <v>252</v>
      </c>
      <c r="D84" s="82">
        <f>50*2</f>
        <v>100</v>
      </c>
      <c r="E84" s="83"/>
    </row>
    <row r="85" spans="1:5" s="84" customFormat="1" ht="31.2">
      <c r="A85" s="81">
        <v>45338</v>
      </c>
      <c r="B85" s="85">
        <v>38</v>
      </c>
      <c r="C85" s="29" t="s">
        <v>253</v>
      </c>
      <c r="D85" s="82">
        <v>50</v>
      </c>
      <c r="E85" s="83"/>
    </row>
    <row r="86" spans="1:5" s="84" customFormat="1">
      <c r="A86" s="81">
        <v>46066</v>
      </c>
      <c r="B86" s="85">
        <v>39</v>
      </c>
      <c r="C86" s="29" t="s">
        <v>254</v>
      </c>
      <c r="D86" s="82">
        <v>50</v>
      </c>
      <c r="E86" s="83"/>
    </row>
    <row r="87" spans="1:5" s="84" customFormat="1" ht="31.2">
      <c r="A87" s="81">
        <v>45238</v>
      </c>
      <c r="B87" s="85">
        <v>40</v>
      </c>
      <c r="C87" s="29" t="s">
        <v>255</v>
      </c>
      <c r="D87" s="82">
        <f>50*15</f>
        <v>750</v>
      </c>
      <c r="E87" s="83"/>
    </row>
    <row r="88" spans="1:5" s="84" customFormat="1" ht="31.2">
      <c r="A88" s="81">
        <v>44970</v>
      </c>
      <c r="B88" s="85">
        <v>41</v>
      </c>
      <c r="C88" s="29" t="s">
        <v>256</v>
      </c>
      <c r="D88" s="82">
        <f>50*2</f>
        <v>100</v>
      </c>
      <c r="E88" s="83"/>
    </row>
    <row r="89" spans="1:5" s="84" customFormat="1">
      <c r="A89" s="81">
        <v>44963</v>
      </c>
      <c r="B89" s="85">
        <v>42</v>
      </c>
      <c r="C89" s="29" t="s">
        <v>257</v>
      </c>
      <c r="D89" s="82">
        <v>50</v>
      </c>
      <c r="E89" s="83"/>
    </row>
    <row r="90" spans="1:5" s="84" customFormat="1" ht="31.2">
      <c r="A90" s="81">
        <v>44963</v>
      </c>
      <c r="B90" s="85">
        <v>43</v>
      </c>
      <c r="C90" s="29" t="s">
        <v>258</v>
      </c>
      <c r="D90" s="82">
        <v>50</v>
      </c>
      <c r="E90" s="83"/>
    </row>
    <row r="91" spans="1:5" s="84" customFormat="1" ht="31.2">
      <c r="A91" s="81">
        <v>44956</v>
      </c>
      <c r="B91" s="85">
        <v>44</v>
      </c>
      <c r="C91" s="29" t="s">
        <v>259</v>
      </c>
      <c r="D91" s="82">
        <v>50</v>
      </c>
      <c r="E91" s="83"/>
    </row>
    <row r="92" spans="1:5" s="84" customFormat="1" ht="46.8">
      <c r="A92" s="81">
        <v>45231</v>
      </c>
      <c r="B92" s="85">
        <v>45</v>
      </c>
      <c r="C92" s="29" t="s">
        <v>260</v>
      </c>
      <c r="D92" s="82">
        <v>50</v>
      </c>
      <c r="E92" s="83"/>
    </row>
    <row r="93" spans="1:5" s="84" customFormat="1">
      <c r="A93" s="81">
        <v>44897</v>
      </c>
      <c r="B93" s="85">
        <v>46</v>
      </c>
      <c r="C93" s="29" t="s">
        <v>261</v>
      </c>
      <c r="D93" s="82">
        <f>50*2.2</f>
        <v>110.00000000000001</v>
      </c>
      <c r="E93" s="83"/>
    </row>
    <row r="94" spans="1:5" s="84" customFormat="1">
      <c r="A94" s="81">
        <v>44897</v>
      </c>
      <c r="B94" s="85">
        <v>47</v>
      </c>
      <c r="C94" s="29" t="s">
        <v>262</v>
      </c>
      <c r="D94" s="82">
        <v>50</v>
      </c>
      <c r="E94" s="83"/>
    </row>
    <row r="95" spans="1:5" s="84" customFormat="1">
      <c r="A95" s="81"/>
      <c r="B95" s="85"/>
      <c r="C95" s="29"/>
      <c r="D95" s="82"/>
      <c r="E95" s="83"/>
    </row>
    <row r="96" spans="1:5" s="84" customFormat="1">
      <c r="A96" s="81"/>
      <c r="B96" s="101" t="s">
        <v>264</v>
      </c>
      <c r="C96" s="30" t="s">
        <v>219</v>
      </c>
      <c r="D96" s="82"/>
      <c r="E96" s="83"/>
    </row>
    <row r="97" spans="1:5" s="84" customFormat="1" ht="31.2">
      <c r="A97" s="81"/>
      <c r="B97" s="102">
        <v>48</v>
      </c>
      <c r="C97" s="29" t="s">
        <v>220</v>
      </c>
      <c r="D97" s="82">
        <f>50*3.21</f>
        <v>160.5</v>
      </c>
      <c r="E97" s="83"/>
    </row>
    <row r="98" spans="1:5" s="84" customFormat="1">
      <c r="A98" s="81">
        <v>45679</v>
      </c>
      <c r="B98" s="102">
        <v>49</v>
      </c>
      <c r="C98" s="29" t="s">
        <v>221</v>
      </c>
      <c r="D98" s="82">
        <f>50*2.68</f>
        <v>134</v>
      </c>
      <c r="E98" s="83"/>
    </row>
    <row r="99" spans="1:5" s="84" customFormat="1">
      <c r="A99" s="81">
        <v>45642</v>
      </c>
      <c r="B99" s="102">
        <v>50</v>
      </c>
      <c r="C99" s="29" t="s">
        <v>222</v>
      </c>
      <c r="D99" s="82">
        <f>50*5.1</f>
        <v>254.99999999999997</v>
      </c>
      <c r="E99" s="83"/>
    </row>
    <row r="100" spans="1:5" s="84" customFormat="1">
      <c r="A100" s="81">
        <v>45337</v>
      </c>
      <c r="B100" s="102">
        <v>51</v>
      </c>
      <c r="C100" s="29" t="s">
        <v>223</v>
      </c>
      <c r="D100" s="82">
        <f>50*6.49</f>
        <v>324.5</v>
      </c>
      <c r="E100" s="83"/>
    </row>
    <row r="101" spans="1:5" s="84" customFormat="1">
      <c r="A101" s="81">
        <v>45245</v>
      </c>
      <c r="B101" s="102">
        <v>52</v>
      </c>
      <c r="C101" s="29" t="s">
        <v>224</v>
      </c>
      <c r="D101" s="82">
        <f>50*8.6</f>
        <v>430</v>
      </c>
      <c r="E101" s="83"/>
    </row>
    <row r="102" spans="1:5" s="84" customFormat="1">
      <c r="A102" s="81">
        <v>45238</v>
      </c>
      <c r="B102" s="102">
        <v>53</v>
      </c>
      <c r="C102" s="29" t="s">
        <v>225</v>
      </c>
      <c r="D102" s="82">
        <f>50*1.67</f>
        <v>83.5</v>
      </c>
      <c r="E102" s="83"/>
    </row>
    <row r="103" spans="1:5" s="84" customFormat="1">
      <c r="A103" s="81">
        <v>45145</v>
      </c>
      <c r="B103" s="102">
        <v>54</v>
      </c>
      <c r="C103" s="29" t="s">
        <v>226</v>
      </c>
      <c r="D103" s="82">
        <f>50*5</f>
        <v>250</v>
      </c>
      <c r="E103" s="83"/>
    </row>
    <row r="104" spans="1:5" s="84" customFormat="1">
      <c r="A104" s="97">
        <v>45133</v>
      </c>
      <c r="B104" s="102">
        <v>55</v>
      </c>
      <c r="C104" s="29" t="s">
        <v>227</v>
      </c>
      <c r="D104" s="82">
        <f>50*43.67</f>
        <v>2183.5</v>
      </c>
      <c r="E104" s="83"/>
    </row>
    <row r="105" spans="1:5" s="84" customFormat="1">
      <c r="A105" s="81">
        <v>45111</v>
      </c>
      <c r="B105" s="102">
        <v>56</v>
      </c>
      <c r="C105" s="29" t="s">
        <v>228</v>
      </c>
      <c r="D105" s="82">
        <f>50*1.34</f>
        <v>67</v>
      </c>
      <c r="E105" s="83"/>
    </row>
    <row r="106" spans="1:5" s="84" customFormat="1" ht="31.2">
      <c r="A106" s="97">
        <v>45111</v>
      </c>
      <c r="B106" s="102">
        <v>57</v>
      </c>
      <c r="C106" s="28" t="s">
        <v>229</v>
      </c>
      <c r="D106" s="82">
        <f>50*24.43</f>
        <v>1221.5</v>
      </c>
      <c r="E106" s="83"/>
    </row>
    <row r="107" spans="1:5" s="59" customFormat="1">
      <c r="A107" s="103"/>
      <c r="B107" s="104"/>
      <c r="C107" s="31"/>
      <c r="D107" s="11"/>
      <c r="E107" s="8"/>
    </row>
    <row r="108" spans="1:5" s="84" customFormat="1">
      <c r="A108" s="81"/>
      <c r="B108" s="105" t="s">
        <v>263</v>
      </c>
      <c r="C108" s="32" t="s">
        <v>27</v>
      </c>
      <c r="D108" s="82"/>
      <c r="E108" s="83"/>
    </row>
    <row r="109" spans="1:5" s="84" customFormat="1" ht="46.8">
      <c r="A109" s="81"/>
      <c r="B109" s="85">
        <v>58</v>
      </c>
      <c r="C109" s="33" t="s">
        <v>230</v>
      </c>
      <c r="D109" s="82">
        <f>50*81</f>
        <v>4050</v>
      </c>
      <c r="E109" s="83"/>
    </row>
    <row r="110" spans="1:5" s="84" customFormat="1" ht="31.2">
      <c r="A110" s="81">
        <v>45764</v>
      </c>
      <c r="B110" s="85">
        <v>59</v>
      </c>
      <c r="C110" s="1" t="s">
        <v>82</v>
      </c>
      <c r="D110" s="82">
        <f>50*222.36</f>
        <v>11118</v>
      </c>
      <c r="E110" s="83"/>
    </row>
    <row r="111" spans="1:5" s="84" customFormat="1" ht="31.2">
      <c r="A111" s="81">
        <v>45478</v>
      </c>
      <c r="B111" s="85">
        <v>60</v>
      </c>
      <c r="C111" s="1" t="s">
        <v>88</v>
      </c>
      <c r="D111" s="82">
        <f>50*15.69</f>
        <v>784.5</v>
      </c>
      <c r="E111" s="83"/>
    </row>
    <row r="112" spans="1:5" s="84" customFormat="1" ht="46.8">
      <c r="A112" s="81">
        <v>45391</v>
      </c>
      <c r="B112" s="85">
        <v>61</v>
      </c>
      <c r="C112" s="1" t="s">
        <v>97</v>
      </c>
      <c r="D112" s="82">
        <f>50*38.78</f>
        <v>1939</v>
      </c>
      <c r="E112" s="83"/>
    </row>
    <row r="113" spans="1:5" s="84" customFormat="1" ht="28.8" customHeight="1">
      <c r="A113" s="81">
        <v>45116</v>
      </c>
      <c r="B113" s="85">
        <v>62</v>
      </c>
      <c r="C113" s="1" t="s">
        <v>285</v>
      </c>
      <c r="D113" s="82">
        <f>50*144.81</f>
        <v>7240.5</v>
      </c>
      <c r="E113" s="83"/>
    </row>
    <row r="114" spans="1:5" s="109" customFormat="1" ht="40.200000000000003" customHeight="1">
      <c r="A114" s="106">
        <v>45161</v>
      </c>
      <c r="B114" s="85">
        <v>63</v>
      </c>
      <c r="C114" s="34" t="s">
        <v>84</v>
      </c>
      <c r="D114" s="107">
        <f>50*78.23</f>
        <v>3911.5</v>
      </c>
      <c r="E114" s="108"/>
    </row>
    <row r="115" spans="1:5" s="84" customFormat="1" ht="33.6" customHeight="1">
      <c r="A115" s="81">
        <v>45478</v>
      </c>
      <c r="B115" s="85">
        <v>64</v>
      </c>
      <c r="C115" s="1" t="s">
        <v>83</v>
      </c>
      <c r="D115" s="82">
        <f>50*31.02</f>
        <v>1551</v>
      </c>
      <c r="E115" s="83"/>
    </row>
    <row r="116" spans="1:5" s="84" customFormat="1" ht="31.2">
      <c r="A116" s="81">
        <v>45239</v>
      </c>
      <c r="B116" s="85">
        <v>65</v>
      </c>
      <c r="C116" s="1" t="s">
        <v>86</v>
      </c>
      <c r="D116" s="82">
        <f>50*16.55</f>
        <v>827.5</v>
      </c>
      <c r="E116" s="83"/>
    </row>
    <row r="117" spans="1:5" s="84" customFormat="1" ht="31.2">
      <c r="A117" s="81">
        <v>45238</v>
      </c>
      <c r="B117" s="85">
        <v>66</v>
      </c>
      <c r="C117" s="1" t="s">
        <v>87</v>
      </c>
      <c r="D117" s="82">
        <f>50*15.9</f>
        <v>795</v>
      </c>
      <c r="E117" s="83"/>
    </row>
    <row r="118" spans="1:5" s="84" customFormat="1" ht="31.2">
      <c r="A118" s="81">
        <v>45063</v>
      </c>
      <c r="B118" s="85">
        <v>67</v>
      </c>
      <c r="C118" s="1" t="s">
        <v>103</v>
      </c>
      <c r="D118" s="82">
        <f>50*62.03</f>
        <v>3101.5</v>
      </c>
      <c r="E118" s="83"/>
    </row>
    <row r="119" spans="1:5" s="84" customFormat="1" ht="31.2">
      <c r="A119" s="81">
        <v>45391</v>
      </c>
      <c r="B119" s="85">
        <v>68</v>
      </c>
      <c r="C119" s="1" t="s">
        <v>104</v>
      </c>
      <c r="D119" s="82">
        <f>50*6.42</f>
        <v>321</v>
      </c>
      <c r="E119" s="83"/>
    </row>
    <row r="120" spans="1:5" s="84" customFormat="1" ht="31.2">
      <c r="A120" s="81">
        <v>45195</v>
      </c>
      <c r="B120" s="85">
        <v>69</v>
      </c>
      <c r="C120" s="1" t="s">
        <v>89</v>
      </c>
      <c r="D120" s="82">
        <f>50*14.16</f>
        <v>708</v>
      </c>
      <c r="E120" s="83"/>
    </row>
    <row r="121" spans="1:5" s="84" customFormat="1" ht="31.2">
      <c r="A121" s="81">
        <v>45063</v>
      </c>
      <c r="B121" s="85">
        <v>70</v>
      </c>
      <c r="C121" s="1" t="s">
        <v>90</v>
      </c>
      <c r="D121" s="82">
        <f>50*268.09</f>
        <v>13404.499999999998</v>
      </c>
      <c r="E121" s="83"/>
    </row>
    <row r="122" spans="1:5" s="84" customFormat="1" ht="31.2">
      <c r="A122" s="81">
        <v>45063</v>
      </c>
      <c r="B122" s="85">
        <v>71</v>
      </c>
      <c r="C122" s="1" t="s">
        <v>91</v>
      </c>
      <c r="D122" s="82">
        <f>50*236.56</f>
        <v>11828</v>
      </c>
      <c r="E122" s="83"/>
    </row>
    <row r="123" spans="1:5" s="84" customFormat="1" ht="31.2">
      <c r="A123" s="81">
        <v>45063</v>
      </c>
      <c r="B123" s="85">
        <v>72</v>
      </c>
      <c r="C123" s="1" t="s">
        <v>92</v>
      </c>
      <c r="D123" s="82">
        <f>50*68.83</f>
        <v>3441.5</v>
      </c>
      <c r="E123" s="83"/>
    </row>
    <row r="124" spans="1:5" s="84" customFormat="1" ht="31.2">
      <c r="A124" s="81">
        <v>45063</v>
      </c>
      <c r="B124" s="85">
        <v>73</v>
      </c>
      <c r="C124" s="1" t="s">
        <v>96</v>
      </c>
      <c r="D124" s="82">
        <f>50*468</f>
        <v>23400</v>
      </c>
      <c r="E124" s="83"/>
    </row>
    <row r="125" spans="1:5" s="84" customFormat="1" ht="31.2">
      <c r="A125" s="81">
        <v>45173</v>
      </c>
      <c r="B125" s="85">
        <v>74</v>
      </c>
      <c r="C125" s="1" t="s">
        <v>94</v>
      </c>
      <c r="D125" s="82">
        <f>50*392</f>
        <v>19600</v>
      </c>
      <c r="E125" s="83"/>
    </row>
    <row r="126" spans="1:5" s="84" customFormat="1" ht="31.2">
      <c r="A126" s="81">
        <v>45398</v>
      </c>
      <c r="B126" s="85">
        <v>75</v>
      </c>
      <c r="C126" s="1" t="s">
        <v>95</v>
      </c>
      <c r="D126" s="82">
        <f>50*378</f>
        <v>18900</v>
      </c>
      <c r="E126" s="83"/>
    </row>
    <row r="127" spans="1:5" s="59" customFormat="1" ht="31.2">
      <c r="A127" s="81">
        <v>45161</v>
      </c>
      <c r="B127" s="85">
        <v>76</v>
      </c>
      <c r="C127" s="1" t="s">
        <v>93</v>
      </c>
      <c r="D127" s="11">
        <f>50*69.44</f>
        <v>3472</v>
      </c>
      <c r="E127" s="8"/>
    </row>
    <row r="128" spans="1:5" s="59" customFormat="1">
      <c r="A128" s="81"/>
      <c r="B128" s="85">
        <v>77</v>
      </c>
      <c r="C128" s="1" t="s">
        <v>268</v>
      </c>
      <c r="D128" s="11">
        <f>50*24</f>
        <v>1200</v>
      </c>
      <c r="E128" s="8"/>
    </row>
    <row r="129" spans="1:5" s="59" customFormat="1">
      <c r="A129" s="81">
        <v>45481</v>
      </c>
      <c r="B129" s="85">
        <v>78</v>
      </c>
      <c r="C129" s="31" t="s">
        <v>98</v>
      </c>
      <c r="D129" s="11">
        <f>50*1.89</f>
        <v>94.5</v>
      </c>
      <c r="E129" s="8"/>
    </row>
    <row r="130" spans="1:5" s="59" customFormat="1">
      <c r="A130" s="81"/>
      <c r="B130" s="85"/>
      <c r="C130" s="31"/>
      <c r="D130" s="11"/>
      <c r="E130" s="8"/>
    </row>
    <row r="131" spans="1:5" s="59" customFormat="1">
      <c r="A131" s="110"/>
      <c r="B131" s="111" t="s">
        <v>28</v>
      </c>
      <c r="C131" s="35" t="s">
        <v>29</v>
      </c>
      <c r="D131" s="11"/>
      <c r="E131" s="8"/>
    </row>
    <row r="132" spans="1:5" s="59" customFormat="1" ht="31.2">
      <c r="A132" s="110"/>
      <c r="B132" s="112" t="s">
        <v>30</v>
      </c>
      <c r="C132" s="20" t="s">
        <v>31</v>
      </c>
      <c r="D132" s="11"/>
      <c r="E132" s="8"/>
    </row>
    <row r="133" spans="1:5" s="59" customFormat="1" ht="46.8">
      <c r="A133" s="113">
        <v>44970</v>
      </c>
      <c r="B133" s="114">
        <v>79</v>
      </c>
      <c r="C133" s="1" t="s">
        <v>202</v>
      </c>
      <c r="D133" s="11">
        <v>50</v>
      </c>
      <c r="E133" s="8"/>
    </row>
    <row r="134" spans="1:5" s="59" customFormat="1" ht="31.2">
      <c r="A134" s="110">
        <v>45027</v>
      </c>
      <c r="B134" s="114">
        <v>80</v>
      </c>
      <c r="C134" s="1" t="s">
        <v>203</v>
      </c>
      <c r="D134" s="11">
        <v>50</v>
      </c>
      <c r="E134" s="8"/>
    </row>
    <row r="135" spans="1:5" s="59" customFormat="1">
      <c r="A135" s="110">
        <v>45103</v>
      </c>
      <c r="B135" s="114">
        <v>81</v>
      </c>
      <c r="C135" s="1" t="s">
        <v>204</v>
      </c>
      <c r="D135" s="11">
        <v>50</v>
      </c>
      <c r="E135" s="8"/>
    </row>
    <row r="136" spans="1:5" s="59" customFormat="1">
      <c r="A136" s="110">
        <v>45240</v>
      </c>
      <c r="B136" s="114">
        <v>82</v>
      </c>
      <c r="C136" s="1" t="s">
        <v>205</v>
      </c>
      <c r="D136" s="11">
        <v>50</v>
      </c>
      <c r="E136" s="8"/>
    </row>
    <row r="137" spans="1:5" s="59" customFormat="1" ht="31.2">
      <c r="A137" s="110">
        <v>45726</v>
      </c>
      <c r="B137" s="114">
        <v>83</v>
      </c>
      <c r="C137" s="1" t="s">
        <v>206</v>
      </c>
      <c r="D137" s="11">
        <v>50</v>
      </c>
      <c r="E137" s="8"/>
    </row>
    <row r="138" spans="1:5" s="59" customFormat="1" ht="31.2">
      <c r="A138" s="110">
        <v>45749</v>
      </c>
      <c r="B138" s="114">
        <v>84</v>
      </c>
      <c r="C138" s="1" t="s">
        <v>207</v>
      </c>
      <c r="D138" s="11">
        <v>50</v>
      </c>
      <c r="E138" s="8"/>
    </row>
    <row r="139" spans="1:5" s="59" customFormat="1">
      <c r="A139" s="110">
        <v>45754</v>
      </c>
      <c r="B139" s="114">
        <v>85</v>
      </c>
      <c r="C139" s="1" t="s">
        <v>208</v>
      </c>
      <c r="D139" s="11">
        <v>50</v>
      </c>
      <c r="E139" s="8"/>
    </row>
    <row r="140" spans="1:5" s="59" customFormat="1" ht="31.2">
      <c r="A140" s="110">
        <v>45763</v>
      </c>
      <c r="B140" s="114">
        <v>86</v>
      </c>
      <c r="C140" s="1" t="s">
        <v>209</v>
      </c>
      <c r="D140" s="11">
        <v>50</v>
      </c>
      <c r="E140" s="8"/>
    </row>
    <row r="141" spans="1:5" s="59" customFormat="1" ht="31.2">
      <c r="A141" s="110">
        <v>45764</v>
      </c>
      <c r="B141" s="114">
        <v>87</v>
      </c>
      <c r="C141" s="1" t="s">
        <v>210</v>
      </c>
      <c r="D141" s="11">
        <v>50</v>
      </c>
      <c r="E141" s="8"/>
    </row>
    <row r="142" spans="1:5" s="59" customFormat="1">
      <c r="A142" s="115"/>
      <c r="B142" s="114"/>
      <c r="C142" s="1"/>
      <c r="D142" s="11"/>
      <c r="E142" s="8"/>
    </row>
    <row r="143" spans="1:5" s="59" customFormat="1" ht="31.2">
      <c r="A143" s="110"/>
      <c r="B143" s="114" t="s">
        <v>22</v>
      </c>
      <c r="C143" s="20" t="s">
        <v>32</v>
      </c>
      <c r="D143" s="11"/>
      <c r="E143" s="8"/>
    </row>
    <row r="144" spans="1:5" s="59" customFormat="1" ht="46.8">
      <c r="A144" s="110">
        <v>44897</v>
      </c>
      <c r="B144" s="114">
        <v>88</v>
      </c>
      <c r="C144" s="1" t="s">
        <v>145</v>
      </c>
      <c r="D144" s="11">
        <v>50</v>
      </c>
      <c r="E144" s="8"/>
    </row>
    <row r="145" spans="1:5" s="59" customFormat="1" ht="31.2">
      <c r="A145" s="110">
        <v>44902</v>
      </c>
      <c r="B145" s="114">
        <v>89</v>
      </c>
      <c r="C145" s="1" t="s">
        <v>146</v>
      </c>
      <c r="D145" s="11">
        <v>50</v>
      </c>
      <c r="E145" s="8"/>
    </row>
    <row r="146" spans="1:5" s="59" customFormat="1" ht="46.8">
      <c r="A146" s="110">
        <v>44956</v>
      </c>
      <c r="B146" s="114">
        <v>90</v>
      </c>
      <c r="C146" s="1" t="s">
        <v>147</v>
      </c>
      <c r="D146" s="11">
        <v>50</v>
      </c>
      <c r="E146" s="8"/>
    </row>
    <row r="147" spans="1:5" s="59" customFormat="1" ht="31.2">
      <c r="A147" s="110">
        <v>44958</v>
      </c>
      <c r="B147" s="114">
        <v>91</v>
      </c>
      <c r="C147" s="1" t="s">
        <v>148</v>
      </c>
      <c r="D147" s="11">
        <v>50</v>
      </c>
      <c r="E147" s="8"/>
    </row>
    <row r="148" spans="1:5" s="59" customFormat="1" ht="31.2">
      <c r="A148" s="110">
        <v>44962</v>
      </c>
      <c r="B148" s="114">
        <v>92</v>
      </c>
      <c r="C148" s="1" t="s">
        <v>149</v>
      </c>
      <c r="D148" s="11">
        <v>50</v>
      </c>
      <c r="E148" s="8"/>
    </row>
    <row r="149" spans="1:5" s="59" customFormat="1">
      <c r="A149" s="110">
        <v>44963</v>
      </c>
      <c r="B149" s="114">
        <v>93</v>
      </c>
      <c r="C149" s="1" t="s">
        <v>150</v>
      </c>
      <c r="D149" s="11">
        <v>50</v>
      </c>
      <c r="E149" s="8"/>
    </row>
    <row r="150" spans="1:5" s="59" customFormat="1" ht="29.4" customHeight="1">
      <c r="A150" s="110">
        <v>44964</v>
      </c>
      <c r="B150" s="114">
        <v>94</v>
      </c>
      <c r="C150" s="1" t="s">
        <v>151</v>
      </c>
      <c r="D150" s="11">
        <v>50</v>
      </c>
      <c r="E150" s="8"/>
    </row>
    <row r="151" spans="1:5" s="59" customFormat="1" ht="46.8">
      <c r="A151" s="110">
        <v>44970</v>
      </c>
      <c r="B151" s="114">
        <v>95</v>
      </c>
      <c r="C151" s="1" t="s">
        <v>152</v>
      </c>
      <c r="D151" s="11">
        <v>50</v>
      </c>
      <c r="E151" s="8"/>
    </row>
    <row r="152" spans="1:5" s="59" customFormat="1" ht="21.6" customHeight="1">
      <c r="A152" s="110">
        <v>44971</v>
      </c>
      <c r="B152" s="114">
        <v>96</v>
      </c>
      <c r="C152" s="1" t="s">
        <v>153</v>
      </c>
      <c r="D152" s="11">
        <v>50</v>
      </c>
      <c r="E152" s="8"/>
    </row>
    <row r="153" spans="1:5" s="59" customFormat="1" ht="31.2">
      <c r="A153" s="110">
        <v>44974</v>
      </c>
      <c r="B153" s="114">
        <v>97</v>
      </c>
      <c r="C153" s="1" t="s">
        <v>154</v>
      </c>
      <c r="D153" s="11">
        <v>50</v>
      </c>
      <c r="E153" s="8"/>
    </row>
    <row r="154" spans="1:5" s="59" customFormat="1">
      <c r="A154" s="110">
        <v>44980</v>
      </c>
      <c r="B154" s="114">
        <v>98</v>
      </c>
      <c r="C154" s="1" t="s">
        <v>155</v>
      </c>
      <c r="D154" s="11">
        <v>50</v>
      </c>
      <c r="E154" s="8"/>
    </row>
    <row r="155" spans="1:5" s="59" customFormat="1" ht="31.2">
      <c r="A155" s="110">
        <v>45001</v>
      </c>
      <c r="B155" s="114">
        <v>99</v>
      </c>
      <c r="C155" s="1" t="s">
        <v>156</v>
      </c>
      <c r="D155" s="11">
        <v>50</v>
      </c>
      <c r="E155" s="8"/>
    </row>
    <row r="156" spans="1:5" s="59" customFormat="1" ht="31.2">
      <c r="A156" s="110">
        <v>45002</v>
      </c>
      <c r="B156" s="114">
        <v>100</v>
      </c>
      <c r="C156" s="1" t="s">
        <v>157</v>
      </c>
      <c r="D156" s="11">
        <v>50</v>
      </c>
      <c r="E156" s="8"/>
    </row>
    <row r="157" spans="1:5" s="59" customFormat="1">
      <c r="A157" s="110">
        <v>45016</v>
      </c>
      <c r="B157" s="114">
        <v>101</v>
      </c>
      <c r="C157" s="1" t="s">
        <v>158</v>
      </c>
      <c r="D157" s="11">
        <v>50</v>
      </c>
      <c r="E157" s="8"/>
    </row>
    <row r="158" spans="1:5" s="59" customFormat="1" ht="31.2">
      <c r="A158" s="110">
        <v>45104</v>
      </c>
      <c r="B158" s="114">
        <v>102</v>
      </c>
      <c r="C158" s="1" t="s">
        <v>159</v>
      </c>
      <c r="D158" s="11">
        <v>50</v>
      </c>
      <c r="E158" s="8"/>
    </row>
    <row r="159" spans="1:5" s="59" customFormat="1" ht="31.2">
      <c r="A159" s="110">
        <v>45111</v>
      </c>
      <c r="B159" s="114">
        <v>103</v>
      </c>
      <c r="C159" s="1" t="s">
        <v>160</v>
      </c>
      <c r="D159" s="11">
        <v>50</v>
      </c>
      <c r="E159" s="8"/>
    </row>
    <row r="160" spans="1:5" s="59" customFormat="1" ht="31.2">
      <c r="A160" s="110">
        <v>45112</v>
      </c>
      <c r="B160" s="114">
        <v>104</v>
      </c>
      <c r="C160" s="1" t="s">
        <v>161</v>
      </c>
      <c r="D160" s="11">
        <v>50</v>
      </c>
      <c r="E160" s="8"/>
    </row>
    <row r="161" spans="1:5" s="59" customFormat="1">
      <c r="A161" s="110">
        <v>45133</v>
      </c>
      <c r="B161" s="114">
        <v>105</v>
      </c>
      <c r="C161" s="1" t="s">
        <v>162</v>
      </c>
      <c r="D161" s="11">
        <v>50</v>
      </c>
      <c r="E161" s="8"/>
    </row>
    <row r="162" spans="1:5" s="59" customFormat="1" ht="31.2">
      <c r="A162" s="110">
        <v>45141</v>
      </c>
      <c r="B162" s="114">
        <v>106</v>
      </c>
      <c r="C162" s="1" t="s">
        <v>163</v>
      </c>
      <c r="D162" s="11">
        <v>50</v>
      </c>
      <c r="E162" s="8"/>
    </row>
    <row r="163" spans="1:5" s="59" customFormat="1" ht="34.200000000000003" customHeight="1">
      <c r="A163" s="110">
        <v>45145</v>
      </c>
      <c r="B163" s="114">
        <v>107</v>
      </c>
      <c r="C163" s="1" t="s">
        <v>164</v>
      </c>
      <c r="D163" s="11">
        <v>50</v>
      </c>
      <c r="E163" s="8"/>
    </row>
    <row r="164" spans="1:5" s="59" customFormat="1" ht="46.8">
      <c r="A164" s="110">
        <v>45231</v>
      </c>
      <c r="B164" s="114">
        <v>108</v>
      </c>
      <c r="C164" s="1" t="s">
        <v>165</v>
      </c>
      <c r="D164" s="11">
        <v>50</v>
      </c>
      <c r="E164" s="8"/>
    </row>
    <row r="165" spans="1:5" s="59" customFormat="1">
      <c r="A165" s="110">
        <v>45231</v>
      </c>
      <c r="B165" s="114">
        <v>109</v>
      </c>
      <c r="C165" s="1" t="s">
        <v>166</v>
      </c>
      <c r="D165" s="11">
        <v>50</v>
      </c>
      <c r="E165" s="8"/>
    </row>
    <row r="166" spans="1:5" s="59" customFormat="1" ht="19.2" customHeight="1">
      <c r="A166" s="110">
        <v>45238</v>
      </c>
      <c r="B166" s="114">
        <v>110</v>
      </c>
      <c r="C166" s="1" t="s">
        <v>167</v>
      </c>
      <c r="D166" s="11">
        <v>50</v>
      </c>
      <c r="E166" s="8"/>
    </row>
    <row r="167" spans="1:5" s="59" customFormat="1" ht="31.2" customHeight="1">
      <c r="A167" s="110">
        <v>45238</v>
      </c>
      <c r="B167" s="114">
        <v>111</v>
      </c>
      <c r="C167" s="1" t="s">
        <v>168</v>
      </c>
      <c r="D167" s="11">
        <v>50</v>
      </c>
      <c r="E167" s="8"/>
    </row>
    <row r="168" spans="1:5" s="59" customFormat="1" ht="31.2">
      <c r="A168" s="110">
        <v>45240</v>
      </c>
      <c r="B168" s="114">
        <v>112</v>
      </c>
      <c r="C168" s="1" t="s">
        <v>169</v>
      </c>
      <c r="D168" s="11">
        <v>50</v>
      </c>
      <c r="E168" s="8"/>
    </row>
    <row r="169" spans="1:5" s="59" customFormat="1" ht="31.2">
      <c r="A169" s="110">
        <v>45240</v>
      </c>
      <c r="B169" s="114">
        <v>113</v>
      </c>
      <c r="C169" s="1" t="s">
        <v>170</v>
      </c>
      <c r="D169" s="11">
        <v>50</v>
      </c>
      <c r="E169" s="8"/>
    </row>
    <row r="170" spans="1:5" s="59" customFormat="1" ht="31.2">
      <c r="A170" s="110">
        <v>45246</v>
      </c>
      <c r="B170" s="114">
        <v>114</v>
      </c>
      <c r="C170" s="1" t="s">
        <v>171</v>
      </c>
      <c r="D170" s="11">
        <v>50</v>
      </c>
      <c r="E170" s="8"/>
    </row>
    <row r="171" spans="1:5" s="59" customFormat="1" ht="31.2" customHeight="1">
      <c r="A171" s="110">
        <v>45260</v>
      </c>
      <c r="B171" s="114">
        <v>115</v>
      </c>
      <c r="C171" s="1" t="s">
        <v>172</v>
      </c>
      <c r="D171" s="11">
        <v>50</v>
      </c>
      <c r="E171" s="8"/>
    </row>
    <row r="172" spans="1:5" s="59" customFormat="1">
      <c r="A172" s="110">
        <v>45327</v>
      </c>
      <c r="B172" s="114">
        <v>116</v>
      </c>
      <c r="C172" s="1" t="s">
        <v>173</v>
      </c>
      <c r="D172" s="11">
        <v>50</v>
      </c>
      <c r="E172" s="8"/>
    </row>
    <row r="173" spans="1:5" s="59" customFormat="1">
      <c r="A173" s="110">
        <v>45335</v>
      </c>
      <c r="B173" s="114">
        <v>117</v>
      </c>
      <c r="C173" s="1" t="s">
        <v>174</v>
      </c>
      <c r="D173" s="11">
        <v>50</v>
      </c>
      <c r="E173" s="8"/>
    </row>
    <row r="174" spans="1:5" s="59" customFormat="1">
      <c r="A174" s="110">
        <v>45336</v>
      </c>
      <c r="B174" s="114">
        <v>118</v>
      </c>
      <c r="C174" s="1" t="s">
        <v>175</v>
      </c>
      <c r="D174" s="11">
        <v>50</v>
      </c>
      <c r="E174" s="8"/>
    </row>
    <row r="175" spans="1:5" s="59" customFormat="1" ht="31.2">
      <c r="A175" s="110">
        <v>45338</v>
      </c>
      <c r="B175" s="114">
        <v>119</v>
      </c>
      <c r="C175" s="1" t="s">
        <v>176</v>
      </c>
      <c r="D175" s="11">
        <v>50</v>
      </c>
      <c r="E175" s="8"/>
    </row>
    <row r="176" spans="1:5" s="59" customFormat="1" ht="30" customHeight="1">
      <c r="A176" s="110">
        <v>45385</v>
      </c>
      <c r="B176" s="114">
        <v>120</v>
      </c>
      <c r="C176" s="1" t="s">
        <v>271</v>
      </c>
      <c r="D176" s="11">
        <v>50</v>
      </c>
      <c r="E176" s="8"/>
    </row>
    <row r="177" spans="1:5" s="59" customFormat="1" ht="16.2" customHeight="1">
      <c r="A177" s="110">
        <v>45387</v>
      </c>
      <c r="B177" s="114">
        <v>121</v>
      </c>
      <c r="C177" s="1" t="s">
        <v>177</v>
      </c>
      <c r="D177" s="11">
        <v>50</v>
      </c>
      <c r="E177" s="8"/>
    </row>
    <row r="178" spans="1:5" s="59" customFormat="1">
      <c r="A178" s="110">
        <v>45419</v>
      </c>
      <c r="B178" s="114">
        <v>122</v>
      </c>
      <c r="C178" s="1" t="s">
        <v>178</v>
      </c>
      <c r="D178" s="11">
        <v>50</v>
      </c>
      <c r="E178" s="8"/>
    </row>
    <row r="179" spans="1:5" s="59" customFormat="1" ht="30" customHeight="1">
      <c r="A179" s="110">
        <v>45425</v>
      </c>
      <c r="B179" s="114">
        <v>123</v>
      </c>
      <c r="C179" s="1" t="s">
        <v>179</v>
      </c>
      <c r="D179" s="11">
        <v>50</v>
      </c>
      <c r="E179" s="8"/>
    </row>
    <row r="180" spans="1:5" s="59" customFormat="1">
      <c r="A180" s="110">
        <v>45432</v>
      </c>
      <c r="B180" s="114">
        <v>124</v>
      </c>
      <c r="C180" s="1" t="s">
        <v>180</v>
      </c>
      <c r="D180" s="11">
        <v>50</v>
      </c>
      <c r="E180" s="8"/>
    </row>
    <row r="181" spans="1:5" s="59" customFormat="1" ht="46.8">
      <c r="A181" s="110">
        <v>45435</v>
      </c>
      <c r="B181" s="114">
        <v>125</v>
      </c>
      <c r="C181" s="1" t="s">
        <v>181</v>
      </c>
      <c r="D181" s="11">
        <v>50</v>
      </c>
      <c r="E181" s="8"/>
    </row>
    <row r="182" spans="1:5" s="59" customFormat="1">
      <c r="A182" s="110">
        <v>45449</v>
      </c>
      <c r="B182" s="114">
        <v>126</v>
      </c>
      <c r="C182" s="1" t="s">
        <v>182</v>
      </c>
      <c r="D182" s="11">
        <v>50</v>
      </c>
      <c r="E182" s="8"/>
    </row>
    <row r="183" spans="1:5" s="59" customFormat="1" ht="31.2">
      <c r="A183" s="110">
        <v>45471</v>
      </c>
      <c r="B183" s="114">
        <v>127</v>
      </c>
      <c r="C183" s="1" t="s">
        <v>183</v>
      </c>
      <c r="D183" s="11">
        <v>50</v>
      </c>
      <c r="E183" s="8"/>
    </row>
    <row r="184" spans="1:5" s="59" customFormat="1" ht="31.2">
      <c r="A184" s="110">
        <v>45476</v>
      </c>
      <c r="B184" s="114">
        <v>128</v>
      </c>
      <c r="C184" s="1" t="s">
        <v>184</v>
      </c>
      <c r="D184" s="11">
        <v>50</v>
      </c>
      <c r="E184" s="8"/>
    </row>
    <row r="185" spans="1:5" s="59" customFormat="1" ht="31.2">
      <c r="A185" s="110">
        <v>45491</v>
      </c>
      <c r="B185" s="114">
        <v>129</v>
      </c>
      <c r="C185" s="1" t="s">
        <v>185</v>
      </c>
      <c r="D185" s="11">
        <v>50</v>
      </c>
      <c r="E185" s="8"/>
    </row>
    <row r="186" spans="1:5" s="59" customFormat="1" ht="34.200000000000003" customHeight="1">
      <c r="A186" s="110">
        <v>45495</v>
      </c>
      <c r="B186" s="114">
        <v>130</v>
      </c>
      <c r="C186" s="1" t="s">
        <v>186</v>
      </c>
      <c r="D186" s="11">
        <v>50</v>
      </c>
      <c r="E186" s="8"/>
    </row>
    <row r="187" spans="1:5" s="59" customFormat="1" ht="31.2">
      <c r="A187" s="110">
        <v>45496</v>
      </c>
      <c r="B187" s="114">
        <v>131</v>
      </c>
      <c r="C187" s="1" t="s">
        <v>187</v>
      </c>
      <c r="D187" s="11">
        <v>50</v>
      </c>
      <c r="E187" s="8"/>
    </row>
    <row r="188" spans="1:5" s="59" customFormat="1" ht="31.2">
      <c r="A188" s="110">
        <v>45506</v>
      </c>
      <c r="B188" s="114">
        <v>132</v>
      </c>
      <c r="C188" s="1" t="s">
        <v>188</v>
      </c>
      <c r="D188" s="11">
        <v>50</v>
      </c>
      <c r="E188" s="8"/>
    </row>
    <row r="189" spans="1:5" s="59" customFormat="1">
      <c r="A189" s="110">
        <v>45519</v>
      </c>
      <c r="B189" s="114">
        <v>133</v>
      </c>
      <c r="C189" s="1" t="s">
        <v>189</v>
      </c>
      <c r="D189" s="11">
        <v>50</v>
      </c>
      <c r="E189" s="8"/>
    </row>
    <row r="190" spans="1:5" s="59" customFormat="1">
      <c r="A190" s="110">
        <v>45520</v>
      </c>
      <c r="B190" s="114">
        <v>134</v>
      </c>
      <c r="C190" s="1" t="s">
        <v>190</v>
      </c>
      <c r="D190" s="11">
        <v>50</v>
      </c>
      <c r="E190" s="8"/>
    </row>
    <row r="191" spans="1:5" s="59" customFormat="1" ht="19.2" customHeight="1">
      <c r="A191" s="110">
        <v>45525</v>
      </c>
      <c r="B191" s="114">
        <v>135</v>
      </c>
      <c r="C191" s="1" t="s">
        <v>191</v>
      </c>
      <c r="D191" s="11">
        <v>50</v>
      </c>
      <c r="E191" s="8"/>
    </row>
    <row r="192" spans="1:5" s="59" customFormat="1" ht="31.2" customHeight="1">
      <c r="A192" s="110">
        <v>45548</v>
      </c>
      <c r="B192" s="114">
        <v>136</v>
      </c>
      <c r="C192" s="1" t="s">
        <v>192</v>
      </c>
      <c r="D192" s="11">
        <v>50</v>
      </c>
      <c r="E192" s="8"/>
    </row>
    <row r="193" spans="1:5" s="91" customFormat="1" ht="31.2">
      <c r="A193" s="113">
        <v>45557</v>
      </c>
      <c r="B193" s="116">
        <v>137</v>
      </c>
      <c r="C193" s="15" t="s">
        <v>277</v>
      </c>
      <c r="D193" s="89">
        <v>50</v>
      </c>
      <c r="E193" s="90"/>
    </row>
    <row r="194" spans="1:5" s="59" customFormat="1" ht="31.8" customHeight="1">
      <c r="A194" s="110">
        <v>45721</v>
      </c>
      <c r="B194" s="114">
        <v>138</v>
      </c>
      <c r="C194" s="1" t="s">
        <v>193</v>
      </c>
      <c r="D194" s="11">
        <v>50</v>
      </c>
      <c r="E194" s="8"/>
    </row>
    <row r="195" spans="1:5" s="59" customFormat="1" ht="31.2">
      <c r="A195" s="110">
        <v>45763</v>
      </c>
      <c r="B195" s="114">
        <v>139</v>
      </c>
      <c r="C195" s="1" t="s">
        <v>194</v>
      </c>
      <c r="D195" s="11">
        <v>50</v>
      </c>
      <c r="E195" s="8"/>
    </row>
    <row r="196" spans="1:5" s="59" customFormat="1" ht="31.2">
      <c r="A196" s="110">
        <v>45784</v>
      </c>
      <c r="B196" s="114">
        <v>140</v>
      </c>
      <c r="C196" s="1" t="s">
        <v>195</v>
      </c>
      <c r="D196" s="11">
        <v>50</v>
      </c>
      <c r="E196" s="8"/>
    </row>
    <row r="197" spans="1:5" s="59" customFormat="1" ht="31.2">
      <c r="A197" s="110">
        <v>45797</v>
      </c>
      <c r="B197" s="114">
        <v>141</v>
      </c>
      <c r="C197" s="1" t="s">
        <v>196</v>
      </c>
      <c r="D197" s="11">
        <v>50</v>
      </c>
      <c r="E197" s="8"/>
    </row>
    <row r="198" spans="1:5" s="59" customFormat="1" ht="46.8">
      <c r="A198" s="110">
        <v>45989</v>
      </c>
      <c r="B198" s="114">
        <v>142</v>
      </c>
      <c r="C198" s="1" t="s">
        <v>197</v>
      </c>
      <c r="D198" s="11">
        <v>50</v>
      </c>
      <c r="E198" s="8"/>
    </row>
    <row r="199" spans="1:5" s="59" customFormat="1" ht="31.2">
      <c r="A199" s="110">
        <v>46009</v>
      </c>
      <c r="B199" s="114">
        <v>143</v>
      </c>
      <c r="C199" s="1" t="s">
        <v>198</v>
      </c>
      <c r="D199" s="11">
        <v>50</v>
      </c>
      <c r="E199" s="8"/>
    </row>
    <row r="200" spans="1:5" s="59" customFormat="1" ht="31.2">
      <c r="A200" s="110">
        <v>46028</v>
      </c>
      <c r="B200" s="114">
        <v>144</v>
      </c>
      <c r="C200" s="1" t="s">
        <v>199</v>
      </c>
      <c r="D200" s="11">
        <v>50</v>
      </c>
      <c r="E200" s="8"/>
    </row>
    <row r="201" spans="1:5" s="59" customFormat="1" ht="31.2">
      <c r="A201" s="110">
        <v>46042</v>
      </c>
      <c r="B201" s="114">
        <v>145</v>
      </c>
      <c r="C201" s="1" t="s">
        <v>200</v>
      </c>
      <c r="D201" s="11">
        <v>50</v>
      </c>
      <c r="E201" s="8"/>
    </row>
    <row r="202" spans="1:5" s="59" customFormat="1">
      <c r="A202" s="110">
        <v>46044</v>
      </c>
      <c r="B202" s="114">
        <v>146</v>
      </c>
      <c r="C202" s="1" t="s">
        <v>201</v>
      </c>
      <c r="D202" s="11">
        <v>50</v>
      </c>
      <c r="E202" s="8"/>
    </row>
    <row r="203" spans="1:5" s="119" customFormat="1" ht="31.2">
      <c r="A203" s="38">
        <v>45532</v>
      </c>
      <c r="B203" s="117">
        <v>147</v>
      </c>
      <c r="C203" s="15" t="s">
        <v>276</v>
      </c>
      <c r="D203" s="89">
        <f>50*1085.49</f>
        <v>54274.5</v>
      </c>
      <c r="E203" s="118"/>
    </row>
    <row r="204" spans="1:5" s="59" customFormat="1">
      <c r="A204" s="110"/>
      <c r="B204" s="114"/>
      <c r="C204" s="1"/>
      <c r="D204" s="11"/>
      <c r="E204" s="8"/>
    </row>
    <row r="205" spans="1:5" s="59" customFormat="1">
      <c r="A205" s="110"/>
      <c r="B205" s="112" t="s">
        <v>33</v>
      </c>
      <c r="C205" s="20" t="s">
        <v>34</v>
      </c>
      <c r="D205" s="11"/>
      <c r="E205" s="8"/>
    </row>
    <row r="206" spans="1:5" s="59" customFormat="1" ht="31.2">
      <c r="A206" s="110">
        <v>44950</v>
      </c>
      <c r="B206" s="114">
        <v>148</v>
      </c>
      <c r="C206" s="1" t="s">
        <v>111</v>
      </c>
      <c r="D206" s="11">
        <v>1000</v>
      </c>
      <c r="E206" s="8"/>
    </row>
    <row r="207" spans="1:5" s="59" customFormat="1" ht="31.2">
      <c r="A207" s="110">
        <v>44957</v>
      </c>
      <c r="B207" s="114">
        <v>149</v>
      </c>
      <c r="C207" s="1" t="s">
        <v>112</v>
      </c>
      <c r="D207" s="11">
        <v>1000</v>
      </c>
      <c r="E207" s="8"/>
    </row>
    <row r="208" spans="1:5" s="59" customFormat="1" ht="31.2">
      <c r="A208" s="110">
        <v>44963</v>
      </c>
      <c r="B208" s="114">
        <v>150</v>
      </c>
      <c r="C208" s="1" t="s">
        <v>113</v>
      </c>
      <c r="D208" s="11">
        <v>1000</v>
      </c>
      <c r="E208" s="8"/>
    </row>
    <row r="209" spans="1:5" s="59" customFormat="1" ht="31.2">
      <c r="A209" s="110">
        <v>44965</v>
      </c>
      <c r="B209" s="114">
        <v>151</v>
      </c>
      <c r="C209" s="1" t="s">
        <v>114</v>
      </c>
      <c r="D209" s="11">
        <v>1000</v>
      </c>
      <c r="E209" s="8"/>
    </row>
    <row r="210" spans="1:5" s="59" customFormat="1" ht="31.2">
      <c r="A210" s="110">
        <v>45331</v>
      </c>
      <c r="B210" s="114">
        <v>152</v>
      </c>
      <c r="C210" s="1" t="s">
        <v>115</v>
      </c>
      <c r="D210" s="11">
        <v>1000</v>
      </c>
      <c r="E210" s="8"/>
    </row>
    <row r="211" spans="1:5" s="59" customFormat="1" ht="31.2">
      <c r="A211" s="110">
        <v>44970</v>
      </c>
      <c r="B211" s="114">
        <v>153</v>
      </c>
      <c r="C211" s="1" t="s">
        <v>116</v>
      </c>
      <c r="D211" s="11">
        <v>1000</v>
      </c>
      <c r="E211" s="8"/>
    </row>
    <row r="212" spans="1:5" s="59" customFormat="1">
      <c r="A212" s="110">
        <v>45001</v>
      </c>
      <c r="B212" s="114">
        <v>154</v>
      </c>
      <c r="C212" s="1" t="s">
        <v>117</v>
      </c>
      <c r="D212" s="11">
        <v>1000</v>
      </c>
      <c r="E212" s="8"/>
    </row>
    <row r="213" spans="1:5" s="59" customFormat="1" ht="22.2" customHeight="1">
      <c r="A213" s="110">
        <v>45015</v>
      </c>
      <c r="B213" s="114">
        <v>155</v>
      </c>
      <c r="C213" s="1" t="s">
        <v>118</v>
      </c>
      <c r="D213" s="11">
        <v>1000</v>
      </c>
      <c r="E213" s="8"/>
    </row>
    <row r="214" spans="1:5" s="59" customFormat="1" ht="20.399999999999999" customHeight="1">
      <c r="A214" s="110">
        <v>45016</v>
      </c>
      <c r="B214" s="114">
        <v>156</v>
      </c>
      <c r="C214" s="1" t="s">
        <v>119</v>
      </c>
      <c r="D214" s="11">
        <v>1000</v>
      </c>
      <c r="E214" s="8"/>
    </row>
    <row r="215" spans="1:5" s="59" customFormat="1" ht="31.2">
      <c r="A215" s="110">
        <v>45016</v>
      </c>
      <c r="B215" s="114">
        <v>157</v>
      </c>
      <c r="C215" s="1" t="s">
        <v>120</v>
      </c>
      <c r="D215" s="11">
        <v>1000</v>
      </c>
      <c r="E215" s="8"/>
    </row>
    <row r="216" spans="1:5" s="59" customFormat="1">
      <c r="A216" s="110">
        <v>45104</v>
      </c>
      <c r="B216" s="114">
        <v>158</v>
      </c>
      <c r="C216" s="1" t="s">
        <v>121</v>
      </c>
      <c r="D216" s="11">
        <v>1000</v>
      </c>
      <c r="E216" s="8"/>
    </row>
    <row r="217" spans="1:5" s="59" customFormat="1" ht="31.2">
      <c r="A217" s="110">
        <v>45104</v>
      </c>
      <c r="B217" s="114">
        <v>159</v>
      </c>
      <c r="C217" s="1" t="s">
        <v>122</v>
      </c>
      <c r="D217" s="11">
        <v>1000</v>
      </c>
      <c r="E217" s="8"/>
    </row>
    <row r="218" spans="1:5" s="59" customFormat="1" ht="31.2">
      <c r="A218" s="120">
        <v>45112</v>
      </c>
      <c r="B218" s="114">
        <v>160</v>
      </c>
      <c r="C218" s="1" t="s">
        <v>123</v>
      </c>
      <c r="D218" s="11">
        <v>1000</v>
      </c>
      <c r="E218" s="8"/>
    </row>
    <row r="219" spans="1:5" s="59" customFormat="1" ht="31.2">
      <c r="A219" s="120">
        <v>45114</v>
      </c>
      <c r="B219" s="114">
        <v>161</v>
      </c>
      <c r="C219" s="1" t="s">
        <v>124</v>
      </c>
      <c r="D219" s="11">
        <v>1000</v>
      </c>
      <c r="E219" s="8"/>
    </row>
    <row r="220" spans="1:5" s="59" customFormat="1" ht="46.8">
      <c r="A220" s="120">
        <v>45182</v>
      </c>
      <c r="B220" s="114">
        <v>162</v>
      </c>
      <c r="C220" s="1" t="s">
        <v>125</v>
      </c>
      <c r="D220" s="11">
        <v>1000</v>
      </c>
      <c r="E220" s="8"/>
    </row>
    <row r="221" spans="1:5" s="59" customFormat="1" ht="31.2">
      <c r="A221" s="120">
        <v>45202</v>
      </c>
      <c r="B221" s="114">
        <v>163</v>
      </c>
      <c r="C221" s="1" t="s">
        <v>126</v>
      </c>
      <c r="D221" s="11">
        <v>1000</v>
      </c>
      <c r="E221" s="8"/>
    </row>
    <row r="222" spans="1:5" s="59" customFormat="1" ht="31.2">
      <c r="A222" s="120">
        <v>45210</v>
      </c>
      <c r="B222" s="114">
        <v>164</v>
      </c>
      <c r="C222" s="1" t="s">
        <v>127</v>
      </c>
      <c r="D222" s="11">
        <v>1000</v>
      </c>
      <c r="E222" s="8"/>
    </row>
    <row r="223" spans="1:5" s="59" customFormat="1" ht="31.2">
      <c r="A223" s="120">
        <v>45331</v>
      </c>
      <c r="B223" s="114">
        <v>165</v>
      </c>
      <c r="C223" s="1" t="s">
        <v>128</v>
      </c>
      <c r="D223" s="11">
        <v>1000</v>
      </c>
      <c r="E223" s="8"/>
    </row>
    <row r="224" spans="1:5" s="59" customFormat="1" ht="31.2">
      <c r="A224" s="121">
        <v>45377</v>
      </c>
      <c r="B224" s="114">
        <v>166</v>
      </c>
      <c r="C224" s="1" t="s">
        <v>129</v>
      </c>
      <c r="D224" s="11">
        <v>1000</v>
      </c>
      <c r="E224" s="8"/>
    </row>
    <row r="225" spans="1:5" s="59" customFormat="1" ht="31.2">
      <c r="A225" s="121">
        <v>45405</v>
      </c>
      <c r="B225" s="114">
        <v>167</v>
      </c>
      <c r="C225" s="1" t="s">
        <v>130</v>
      </c>
      <c r="D225" s="11">
        <v>1000</v>
      </c>
      <c r="E225" s="8"/>
    </row>
    <row r="226" spans="1:5" s="59" customFormat="1">
      <c r="A226" s="121">
        <v>45405</v>
      </c>
      <c r="B226" s="114">
        <v>168</v>
      </c>
      <c r="C226" s="1" t="s">
        <v>131</v>
      </c>
      <c r="D226" s="11">
        <v>1000</v>
      </c>
      <c r="E226" s="8"/>
    </row>
    <row r="227" spans="1:5" s="59" customFormat="1" ht="31.2">
      <c r="A227" s="121">
        <v>45427</v>
      </c>
      <c r="B227" s="114">
        <v>169</v>
      </c>
      <c r="C227" s="1" t="s">
        <v>132</v>
      </c>
      <c r="D227" s="11">
        <v>1000</v>
      </c>
      <c r="E227" s="8"/>
    </row>
    <row r="228" spans="1:5" s="59" customFormat="1" ht="31.2">
      <c r="A228" s="122">
        <v>45467</v>
      </c>
      <c r="B228" s="114">
        <v>170</v>
      </c>
      <c r="C228" s="1" t="s">
        <v>133</v>
      </c>
      <c r="D228" s="11">
        <v>1000</v>
      </c>
      <c r="E228" s="8"/>
    </row>
    <row r="229" spans="1:5" s="59" customFormat="1" ht="31.2">
      <c r="A229" s="122">
        <v>45470</v>
      </c>
      <c r="B229" s="114">
        <v>171</v>
      </c>
      <c r="C229" s="1" t="s">
        <v>134</v>
      </c>
      <c r="D229" s="11">
        <v>1000</v>
      </c>
      <c r="E229" s="8"/>
    </row>
    <row r="230" spans="1:5" s="59" customFormat="1" ht="31.2">
      <c r="A230" s="122">
        <v>45581</v>
      </c>
      <c r="B230" s="114">
        <v>172</v>
      </c>
      <c r="C230" s="1" t="s">
        <v>135</v>
      </c>
      <c r="D230" s="11">
        <v>1000</v>
      </c>
      <c r="E230" s="8"/>
    </row>
    <row r="231" spans="1:5" s="59" customFormat="1" ht="46.8">
      <c r="A231" s="122">
        <v>45749</v>
      </c>
      <c r="B231" s="114">
        <v>173</v>
      </c>
      <c r="C231" s="1" t="s">
        <v>136</v>
      </c>
      <c r="D231" s="11">
        <v>1000</v>
      </c>
      <c r="E231" s="8"/>
    </row>
    <row r="232" spans="1:5" s="59" customFormat="1" ht="31.2">
      <c r="A232" s="122">
        <v>45779</v>
      </c>
      <c r="B232" s="114">
        <v>174</v>
      </c>
      <c r="C232" s="1" t="s">
        <v>137</v>
      </c>
      <c r="D232" s="11">
        <v>1000</v>
      </c>
      <c r="E232" s="8"/>
    </row>
    <row r="233" spans="1:5" s="59" customFormat="1">
      <c r="A233" s="122">
        <v>45786</v>
      </c>
      <c r="B233" s="114">
        <v>175</v>
      </c>
      <c r="C233" s="1" t="s">
        <v>138</v>
      </c>
      <c r="D233" s="11">
        <v>1000</v>
      </c>
      <c r="E233" s="8"/>
    </row>
    <row r="234" spans="1:5" s="59" customFormat="1" ht="31.2">
      <c r="A234" s="122">
        <v>45793</v>
      </c>
      <c r="B234" s="114">
        <v>176</v>
      </c>
      <c r="C234" s="1" t="s">
        <v>139</v>
      </c>
      <c r="D234" s="11">
        <v>1000</v>
      </c>
      <c r="E234" s="8"/>
    </row>
    <row r="235" spans="1:5" s="59" customFormat="1">
      <c r="A235" s="122">
        <v>45805</v>
      </c>
      <c r="B235" s="114">
        <v>177</v>
      </c>
      <c r="C235" s="1" t="s">
        <v>140</v>
      </c>
      <c r="D235" s="11">
        <v>1000</v>
      </c>
      <c r="E235" s="8"/>
    </row>
    <row r="236" spans="1:5" s="59" customFormat="1" ht="31.2">
      <c r="A236" s="122">
        <v>45986</v>
      </c>
      <c r="B236" s="114">
        <v>178</v>
      </c>
      <c r="C236" s="1" t="s">
        <v>141</v>
      </c>
      <c r="D236" s="11">
        <v>1000</v>
      </c>
      <c r="E236" s="8"/>
    </row>
    <row r="237" spans="1:5" s="59" customFormat="1" ht="31.2">
      <c r="A237" s="122">
        <v>46001</v>
      </c>
      <c r="B237" s="114">
        <v>179</v>
      </c>
      <c r="C237" s="1" t="s">
        <v>142</v>
      </c>
      <c r="D237" s="11">
        <v>1000</v>
      </c>
      <c r="E237" s="8"/>
    </row>
    <row r="238" spans="1:5" s="59" customFormat="1" ht="31.2">
      <c r="A238" s="122">
        <v>45996</v>
      </c>
      <c r="B238" s="114">
        <v>180</v>
      </c>
      <c r="C238" s="1" t="s">
        <v>143</v>
      </c>
      <c r="D238" s="11">
        <v>1000</v>
      </c>
      <c r="E238" s="8"/>
    </row>
    <row r="239" spans="1:5" s="59" customFormat="1" ht="46.8">
      <c r="A239" s="122">
        <v>46036</v>
      </c>
      <c r="B239" s="114">
        <v>181</v>
      </c>
      <c r="C239" s="1" t="s">
        <v>144</v>
      </c>
      <c r="D239" s="11">
        <v>1000</v>
      </c>
      <c r="E239" s="8"/>
    </row>
    <row r="240" spans="1:5" s="59" customFormat="1">
      <c r="A240" s="8"/>
      <c r="B240" s="72"/>
      <c r="C240" s="36"/>
      <c r="D240" s="11"/>
      <c r="E240" s="8"/>
    </row>
    <row r="241" spans="1:5" s="59" customFormat="1" ht="31.2">
      <c r="A241" s="87"/>
      <c r="B241" s="100" t="s">
        <v>52</v>
      </c>
      <c r="C241" s="24" t="s">
        <v>35</v>
      </c>
      <c r="D241" s="89"/>
      <c r="E241" s="123"/>
    </row>
    <row r="242" spans="1:5" s="84" customFormat="1" ht="33.6" customHeight="1">
      <c r="A242" s="87">
        <v>45015</v>
      </c>
      <c r="B242" s="88">
        <v>182</v>
      </c>
      <c r="C242" s="15" t="s">
        <v>75</v>
      </c>
      <c r="D242" s="82">
        <f>25*15.42*3</f>
        <v>1156.5</v>
      </c>
      <c r="E242" s="83"/>
    </row>
    <row r="243" spans="1:5" s="84" customFormat="1" ht="31.2">
      <c r="A243" s="87">
        <v>45016</v>
      </c>
      <c r="B243" s="88">
        <v>183</v>
      </c>
      <c r="C243" s="15" t="s">
        <v>273</v>
      </c>
      <c r="D243" s="82">
        <f>25*280.98*3</f>
        <v>21073.5</v>
      </c>
      <c r="E243" s="83"/>
    </row>
    <row r="244" spans="1:5" s="84" customFormat="1" ht="31.2">
      <c r="A244" s="87">
        <v>45467</v>
      </c>
      <c r="B244" s="88">
        <v>184</v>
      </c>
      <c r="C244" s="15" t="s">
        <v>274</v>
      </c>
      <c r="D244" s="82">
        <f>25*166.26*3</f>
        <v>12469.5</v>
      </c>
      <c r="E244" s="83"/>
    </row>
    <row r="245" spans="1:5" s="84" customFormat="1" ht="31.2">
      <c r="A245" s="87"/>
      <c r="B245" s="88">
        <v>185</v>
      </c>
      <c r="C245" s="15" t="s">
        <v>275</v>
      </c>
      <c r="D245" s="82">
        <f>25*5*3</f>
        <v>375</v>
      </c>
      <c r="E245" s="83"/>
    </row>
    <row r="246" spans="1:5" s="84" customFormat="1" ht="31.2">
      <c r="A246" s="87">
        <v>45114</v>
      </c>
      <c r="B246" s="88">
        <v>186</v>
      </c>
      <c r="C246" s="15" t="s">
        <v>77</v>
      </c>
      <c r="D246" s="82">
        <f>25*6.84*3</f>
        <v>513</v>
      </c>
      <c r="E246" s="83"/>
    </row>
    <row r="247" spans="1:5" s="84" customFormat="1" ht="31.2">
      <c r="A247" s="87">
        <v>45114</v>
      </c>
      <c r="B247" s="88">
        <v>187</v>
      </c>
      <c r="C247" s="15" t="s">
        <v>78</v>
      </c>
      <c r="D247" s="82">
        <f>25*20.62*3</f>
        <v>1546.5</v>
      </c>
      <c r="E247" s="83"/>
    </row>
    <row r="248" spans="1:5" s="84" customFormat="1" ht="31.2">
      <c r="A248" s="87">
        <v>45631</v>
      </c>
      <c r="B248" s="88">
        <v>188</v>
      </c>
      <c r="C248" s="15" t="s">
        <v>79</v>
      </c>
      <c r="D248" s="82">
        <f>25*135.25*3</f>
        <v>10143.75</v>
      </c>
      <c r="E248" s="86"/>
    </row>
    <row r="249" spans="1:5" s="84" customFormat="1" ht="19.2" customHeight="1">
      <c r="A249" s="87">
        <v>45631</v>
      </c>
      <c r="B249" s="88">
        <v>189</v>
      </c>
      <c r="C249" s="15" t="s">
        <v>80</v>
      </c>
      <c r="D249" s="82">
        <f>25*327.9*3</f>
        <v>24592.5</v>
      </c>
      <c r="E249" s="83"/>
    </row>
    <row r="250" spans="1:5" s="84" customFormat="1" ht="62.4">
      <c r="A250" s="87">
        <v>45451</v>
      </c>
      <c r="B250" s="88">
        <v>190</v>
      </c>
      <c r="C250" s="22" t="s">
        <v>99</v>
      </c>
      <c r="D250" s="82">
        <f>25*82.1*3</f>
        <v>6157.5</v>
      </c>
      <c r="E250" s="83"/>
    </row>
    <row r="251" spans="1:5" s="84" customFormat="1" ht="62.4">
      <c r="A251" s="87">
        <v>45467</v>
      </c>
      <c r="B251" s="88">
        <v>191</v>
      </c>
      <c r="C251" s="37" t="s">
        <v>100</v>
      </c>
      <c r="D251" s="82">
        <f>25*84.08*3</f>
        <v>6306</v>
      </c>
      <c r="E251" s="83"/>
    </row>
    <row r="252" spans="1:5" s="84" customFormat="1" ht="46.8">
      <c r="A252" s="87">
        <v>45202</v>
      </c>
      <c r="B252" s="88">
        <v>192</v>
      </c>
      <c r="C252" s="15" t="s">
        <v>81</v>
      </c>
      <c r="D252" s="82">
        <f>25*34.29*3</f>
        <v>2571.75</v>
      </c>
      <c r="E252" s="123"/>
    </row>
    <row r="253" spans="1:5" s="84" customFormat="1" ht="31.2">
      <c r="A253" s="87">
        <v>45015</v>
      </c>
      <c r="B253" s="88">
        <v>193</v>
      </c>
      <c r="C253" s="15" t="s">
        <v>101</v>
      </c>
      <c r="D253" s="82">
        <f>25*6.16*3</f>
        <v>462</v>
      </c>
      <c r="E253" s="83"/>
    </row>
    <row r="254" spans="1:5" s="84" customFormat="1" ht="31.2">
      <c r="A254" s="87">
        <v>45015</v>
      </c>
      <c r="B254" s="88">
        <v>194</v>
      </c>
      <c r="C254" s="15" t="s">
        <v>102</v>
      </c>
      <c r="D254" s="82">
        <f>25*3.66*3</f>
        <v>274.5</v>
      </c>
      <c r="E254" s="83"/>
    </row>
    <row r="255" spans="1:5" s="84" customFormat="1" ht="31.2">
      <c r="A255" s="87">
        <v>45015</v>
      </c>
      <c r="B255" s="88">
        <v>195</v>
      </c>
      <c r="C255" s="15" t="s">
        <v>76</v>
      </c>
      <c r="D255" s="82">
        <f>25*4.25*3</f>
        <v>318.75</v>
      </c>
      <c r="E255" s="83"/>
    </row>
    <row r="256" spans="1:5" s="84" customFormat="1" ht="31.2">
      <c r="A256" s="124"/>
      <c r="B256" s="93">
        <v>196</v>
      </c>
      <c r="C256" s="15" t="s">
        <v>217</v>
      </c>
      <c r="D256" s="82">
        <f>25*493.04*3</f>
        <v>36978</v>
      </c>
      <c r="E256" s="83"/>
    </row>
    <row r="257" spans="1:5" s="84" customFormat="1" ht="31.2">
      <c r="A257" s="81">
        <v>45764</v>
      </c>
      <c r="B257" s="85">
        <v>197</v>
      </c>
      <c r="C257" s="1" t="s">
        <v>82</v>
      </c>
      <c r="D257" s="82">
        <f>25*222.36</f>
        <v>5559</v>
      </c>
      <c r="E257" s="83"/>
    </row>
    <row r="258" spans="1:5" s="84" customFormat="1" ht="31.2">
      <c r="A258" s="81">
        <v>45478</v>
      </c>
      <c r="B258" s="85">
        <v>198</v>
      </c>
      <c r="C258" s="1" t="s">
        <v>88</v>
      </c>
      <c r="D258" s="82">
        <f>25*15.69</f>
        <v>392.25</v>
      </c>
      <c r="E258" s="83"/>
    </row>
    <row r="259" spans="1:5" s="84" customFormat="1" ht="46.8">
      <c r="A259" s="81">
        <v>45391</v>
      </c>
      <c r="B259" s="85">
        <v>199</v>
      </c>
      <c r="C259" s="1" t="s">
        <v>97</v>
      </c>
      <c r="D259" s="82">
        <f>25*38.78</f>
        <v>969.5</v>
      </c>
      <c r="E259" s="83"/>
    </row>
    <row r="260" spans="1:5" s="84" customFormat="1" ht="46.8">
      <c r="A260" s="81">
        <v>45116</v>
      </c>
      <c r="B260" s="85">
        <v>200</v>
      </c>
      <c r="C260" s="1" t="s">
        <v>85</v>
      </c>
      <c r="D260" s="82">
        <f>25*144.81</f>
        <v>3620.25</v>
      </c>
      <c r="E260" s="83"/>
    </row>
    <row r="261" spans="1:5" s="109" customFormat="1" ht="45.6" customHeight="1">
      <c r="A261" s="106">
        <v>45161</v>
      </c>
      <c r="B261" s="85">
        <v>201</v>
      </c>
      <c r="C261" s="34" t="s">
        <v>84</v>
      </c>
      <c r="D261" s="107">
        <f>25*78.23</f>
        <v>1955.75</v>
      </c>
      <c r="E261" s="108"/>
    </row>
    <row r="262" spans="1:5" s="84" customFormat="1" ht="33.6" customHeight="1">
      <c r="A262" s="81">
        <v>45478</v>
      </c>
      <c r="B262" s="85">
        <v>202</v>
      </c>
      <c r="C262" s="1" t="s">
        <v>83</v>
      </c>
      <c r="D262" s="82">
        <f>25*31.02</f>
        <v>775.5</v>
      </c>
      <c r="E262" s="83"/>
    </row>
    <row r="263" spans="1:5" s="84" customFormat="1" ht="31.2">
      <c r="A263" s="81">
        <v>45239</v>
      </c>
      <c r="B263" s="85">
        <v>203</v>
      </c>
      <c r="C263" s="1" t="s">
        <v>86</v>
      </c>
      <c r="D263" s="82">
        <f>25*16.55</f>
        <v>413.75</v>
      </c>
      <c r="E263" s="83"/>
    </row>
    <row r="264" spans="1:5" s="84" customFormat="1" ht="31.2">
      <c r="A264" s="81">
        <v>45238</v>
      </c>
      <c r="B264" s="85">
        <v>204</v>
      </c>
      <c r="C264" s="1" t="s">
        <v>87</v>
      </c>
      <c r="D264" s="82">
        <f>25*15.9</f>
        <v>397.5</v>
      </c>
      <c r="E264" s="83"/>
    </row>
    <row r="265" spans="1:5" s="84" customFormat="1" ht="31.2">
      <c r="A265" s="81">
        <v>45063</v>
      </c>
      <c r="B265" s="85">
        <v>205</v>
      </c>
      <c r="C265" s="1" t="s">
        <v>103</v>
      </c>
      <c r="D265" s="82">
        <f>25*62.03</f>
        <v>1550.75</v>
      </c>
      <c r="E265" s="83"/>
    </row>
    <row r="266" spans="1:5" s="84" customFormat="1" ht="31.2">
      <c r="A266" s="81">
        <v>45391</v>
      </c>
      <c r="B266" s="85">
        <v>206</v>
      </c>
      <c r="C266" s="1" t="s">
        <v>104</v>
      </c>
      <c r="D266" s="82">
        <f>25*6.42</f>
        <v>160.5</v>
      </c>
      <c r="E266" s="83"/>
    </row>
    <row r="267" spans="1:5" s="84" customFormat="1" ht="31.2">
      <c r="A267" s="81">
        <v>45195</v>
      </c>
      <c r="B267" s="85">
        <v>207</v>
      </c>
      <c r="C267" s="1" t="s">
        <v>272</v>
      </c>
      <c r="D267" s="82">
        <f>25*14.16</f>
        <v>354</v>
      </c>
      <c r="E267" s="83"/>
    </row>
    <row r="268" spans="1:5" s="84" customFormat="1" ht="31.2">
      <c r="A268" s="81">
        <v>45063</v>
      </c>
      <c r="B268" s="85">
        <v>208</v>
      </c>
      <c r="C268" s="1" t="s">
        <v>90</v>
      </c>
      <c r="D268" s="82">
        <f>25*268.09</f>
        <v>6702.2499999999991</v>
      </c>
      <c r="E268" s="83"/>
    </row>
    <row r="269" spans="1:5" s="84" customFormat="1" ht="31.2">
      <c r="A269" s="81">
        <v>45063</v>
      </c>
      <c r="B269" s="85">
        <v>209</v>
      </c>
      <c r="C269" s="1" t="s">
        <v>91</v>
      </c>
      <c r="D269" s="82">
        <f>25*236.56</f>
        <v>5914</v>
      </c>
      <c r="E269" s="83"/>
    </row>
    <row r="270" spans="1:5" s="84" customFormat="1" ht="31.2">
      <c r="A270" s="81">
        <v>45063</v>
      </c>
      <c r="B270" s="85">
        <v>210</v>
      </c>
      <c r="C270" s="1" t="s">
        <v>92</v>
      </c>
      <c r="D270" s="82">
        <f>25*68.83</f>
        <v>1720.75</v>
      </c>
      <c r="E270" s="83"/>
    </row>
    <row r="271" spans="1:5" s="84" customFormat="1" ht="31.2">
      <c r="A271" s="81">
        <v>45063</v>
      </c>
      <c r="B271" s="85">
        <v>211</v>
      </c>
      <c r="C271" s="1" t="s">
        <v>96</v>
      </c>
      <c r="D271" s="82">
        <f>25*468</f>
        <v>11700</v>
      </c>
      <c r="E271" s="83"/>
    </row>
    <row r="272" spans="1:5" s="84" customFormat="1" ht="31.2">
      <c r="A272" s="81">
        <v>45173</v>
      </c>
      <c r="B272" s="85">
        <v>212</v>
      </c>
      <c r="C272" s="1" t="s">
        <v>94</v>
      </c>
      <c r="D272" s="82">
        <f>25*392</f>
        <v>9800</v>
      </c>
      <c r="E272" s="83"/>
    </row>
    <row r="273" spans="1:5" s="84" customFormat="1" ht="31.2">
      <c r="A273" s="81">
        <v>45398</v>
      </c>
      <c r="B273" s="85">
        <v>213</v>
      </c>
      <c r="C273" s="1" t="s">
        <v>95</v>
      </c>
      <c r="D273" s="82">
        <f>25*378</f>
        <v>9450</v>
      </c>
      <c r="E273" s="83"/>
    </row>
    <row r="274" spans="1:5" s="59" customFormat="1" ht="31.2">
      <c r="A274" s="81">
        <v>45161</v>
      </c>
      <c r="B274" s="85">
        <v>214</v>
      </c>
      <c r="C274" s="1" t="s">
        <v>93</v>
      </c>
      <c r="D274" s="11">
        <f>25*69.44</f>
        <v>1736</v>
      </c>
      <c r="E274" s="8"/>
    </row>
    <row r="275" spans="1:5" s="59" customFormat="1" ht="29.4" customHeight="1">
      <c r="A275" s="81">
        <v>45481</v>
      </c>
      <c r="B275" s="85">
        <v>215</v>
      </c>
      <c r="C275" s="38" t="s">
        <v>98</v>
      </c>
      <c r="D275" s="11">
        <f>25*1.89</f>
        <v>47.25</v>
      </c>
      <c r="E275" s="8"/>
    </row>
    <row r="276" spans="1:5" s="59" customFormat="1">
      <c r="A276" s="8"/>
      <c r="B276" s="9"/>
      <c r="C276" s="10"/>
      <c r="D276" s="11"/>
      <c r="E276" s="8"/>
    </row>
    <row r="277" spans="1:5" s="59" customFormat="1" ht="46.8">
      <c r="A277" s="125"/>
      <c r="B277" s="126" t="s">
        <v>53</v>
      </c>
      <c r="C277" s="39" t="s">
        <v>36</v>
      </c>
      <c r="D277" s="11"/>
      <c r="E277" s="8"/>
    </row>
    <row r="278" spans="1:5" s="59" customFormat="1" ht="46.8">
      <c r="A278" s="8"/>
      <c r="B278" s="9">
        <v>216</v>
      </c>
      <c r="C278" s="10" t="s">
        <v>287</v>
      </c>
      <c r="D278" s="11"/>
      <c r="E278" s="8"/>
    </row>
    <row r="279" spans="1:5" s="59" customFormat="1" ht="46.8">
      <c r="A279" s="90"/>
      <c r="B279" s="88">
        <v>217</v>
      </c>
      <c r="C279" s="15" t="s">
        <v>288</v>
      </c>
      <c r="D279" s="89"/>
      <c r="E279" s="8"/>
    </row>
    <row r="280" spans="1:5" s="84" customFormat="1" ht="46.8">
      <c r="A280" s="90"/>
      <c r="B280" s="127"/>
      <c r="C280" s="15" t="s">
        <v>37</v>
      </c>
      <c r="D280" s="89"/>
      <c r="E280" s="83"/>
    </row>
    <row r="281" spans="1:5" s="84" customFormat="1">
      <c r="A281" s="97"/>
      <c r="B281" s="9"/>
      <c r="C281" s="10"/>
      <c r="D281" s="82"/>
      <c r="E281" s="83"/>
    </row>
    <row r="282" spans="1:5" s="84" customFormat="1">
      <c r="A282" s="97"/>
      <c r="B282" s="80" t="s">
        <v>38</v>
      </c>
      <c r="C282" s="21" t="s">
        <v>39</v>
      </c>
      <c r="D282" s="82"/>
      <c r="E282" s="83"/>
    </row>
    <row r="283" spans="1:5" s="91" customFormat="1" ht="31.2">
      <c r="A283" s="87">
        <v>46036</v>
      </c>
      <c r="B283" s="128">
        <v>218</v>
      </c>
      <c r="C283" s="15" t="s">
        <v>231</v>
      </c>
      <c r="D283" s="89">
        <f>1400+(35*9.7)</f>
        <v>1739.5</v>
      </c>
      <c r="E283" s="90"/>
    </row>
    <row r="284" spans="1:5" s="91" customFormat="1" ht="46.8">
      <c r="A284" s="87">
        <v>45470</v>
      </c>
      <c r="B284" s="128">
        <v>219</v>
      </c>
      <c r="C284" s="15" t="s">
        <v>234</v>
      </c>
      <c r="D284" s="89">
        <f t="shared" ref="D284:D291" si="0">1400+(35*9.7)</f>
        <v>1739.5</v>
      </c>
      <c r="E284" s="90"/>
    </row>
    <row r="285" spans="1:5" s="91" customFormat="1" ht="31.2">
      <c r="A285" s="87">
        <v>45167</v>
      </c>
      <c r="B285" s="128">
        <v>220</v>
      </c>
      <c r="C285" s="15" t="s">
        <v>240</v>
      </c>
      <c r="D285" s="89">
        <f t="shared" si="0"/>
        <v>1739.5</v>
      </c>
      <c r="E285" s="90"/>
    </row>
    <row r="286" spans="1:5" s="91" customFormat="1" ht="31.2">
      <c r="A286" s="87">
        <v>44957</v>
      </c>
      <c r="B286" s="128">
        <v>221</v>
      </c>
      <c r="C286" s="15" t="s">
        <v>244</v>
      </c>
      <c r="D286" s="89">
        <f t="shared" si="0"/>
        <v>1739.5</v>
      </c>
      <c r="E286" s="90"/>
    </row>
    <row r="287" spans="1:5" s="91" customFormat="1" ht="31.2">
      <c r="A287" s="87">
        <v>44950</v>
      </c>
      <c r="B287" s="128">
        <v>222</v>
      </c>
      <c r="C287" s="15" t="s">
        <v>40</v>
      </c>
      <c r="D287" s="89">
        <f t="shared" si="0"/>
        <v>1739.5</v>
      </c>
      <c r="E287" s="90"/>
    </row>
    <row r="288" spans="1:5" s="91" customFormat="1" ht="46.8">
      <c r="A288" s="87">
        <v>44894</v>
      </c>
      <c r="B288" s="128">
        <v>223</v>
      </c>
      <c r="C288" s="15" t="s">
        <v>245</v>
      </c>
      <c r="D288" s="89">
        <f t="shared" si="0"/>
        <v>1739.5</v>
      </c>
      <c r="E288" s="90"/>
    </row>
    <row r="289" spans="1:5" s="91" customFormat="1" ht="31.2">
      <c r="A289" s="87">
        <v>45562</v>
      </c>
      <c r="B289" s="128">
        <v>224</v>
      </c>
      <c r="C289" s="15" t="s">
        <v>246</v>
      </c>
      <c r="D289" s="89">
        <f t="shared" si="0"/>
        <v>1739.5</v>
      </c>
      <c r="E289" s="90"/>
    </row>
    <row r="290" spans="1:5" s="91" customFormat="1" ht="31.2">
      <c r="A290" s="129">
        <v>45470</v>
      </c>
      <c r="B290" s="128">
        <v>225</v>
      </c>
      <c r="C290" s="2" t="s">
        <v>266</v>
      </c>
      <c r="D290" s="89">
        <f t="shared" si="0"/>
        <v>1739.5</v>
      </c>
      <c r="E290" s="90"/>
    </row>
    <row r="291" spans="1:5" s="91" customFormat="1" ht="46.8">
      <c r="A291" s="129">
        <v>46036</v>
      </c>
      <c r="B291" s="128">
        <v>226</v>
      </c>
      <c r="C291" s="2" t="s">
        <v>267</v>
      </c>
      <c r="D291" s="89">
        <f t="shared" si="0"/>
        <v>1739.5</v>
      </c>
      <c r="E291" s="90"/>
    </row>
    <row r="292" spans="1:5" s="59" customFormat="1">
      <c r="A292" s="81"/>
      <c r="B292" s="85"/>
      <c r="C292" s="1"/>
      <c r="D292" s="11"/>
      <c r="E292" s="8"/>
    </row>
    <row r="293" spans="1:5" s="59" customFormat="1">
      <c r="A293" s="81">
        <v>44792</v>
      </c>
      <c r="B293" s="101" t="s">
        <v>41</v>
      </c>
      <c r="C293" s="20" t="s">
        <v>42</v>
      </c>
      <c r="D293" s="11"/>
      <c r="E293" s="8"/>
    </row>
    <row r="294" spans="1:5" s="84" customFormat="1">
      <c r="A294" s="81">
        <v>45015</v>
      </c>
      <c r="B294" s="85">
        <v>227</v>
      </c>
      <c r="C294" s="10" t="s">
        <v>211</v>
      </c>
      <c r="D294" s="82">
        <f>1400+(35*9.7)</f>
        <v>1739.5</v>
      </c>
      <c r="E294" s="83"/>
    </row>
    <row r="295" spans="1:5" s="84" customFormat="1" ht="31.2">
      <c r="A295" s="81">
        <v>45114</v>
      </c>
      <c r="B295" s="85">
        <v>228</v>
      </c>
      <c r="C295" s="10" t="s">
        <v>278</v>
      </c>
      <c r="D295" s="82">
        <f t="shared" ref="D295:D303" si="1">1400+(35*9.7)</f>
        <v>1739.5</v>
      </c>
      <c r="E295" s="83"/>
    </row>
    <row r="296" spans="1:5" s="84" customFormat="1">
      <c r="A296" s="81">
        <v>45114</v>
      </c>
      <c r="B296" s="85">
        <v>229</v>
      </c>
      <c r="C296" s="10" t="s">
        <v>279</v>
      </c>
      <c r="D296" s="82">
        <f t="shared" si="1"/>
        <v>1739.5</v>
      </c>
      <c r="E296" s="83"/>
    </row>
    <row r="297" spans="1:5" s="84" customFormat="1">
      <c r="A297" s="81">
        <v>45631</v>
      </c>
      <c r="B297" s="85">
        <v>230</v>
      </c>
      <c r="C297" s="1" t="s">
        <v>43</v>
      </c>
      <c r="D297" s="82">
        <f t="shared" si="1"/>
        <v>1739.5</v>
      </c>
      <c r="E297" s="86"/>
    </row>
    <row r="298" spans="1:5" s="84" customFormat="1" ht="18.600000000000001" customHeight="1">
      <c r="A298" s="81">
        <v>45631</v>
      </c>
      <c r="B298" s="85">
        <v>231</v>
      </c>
      <c r="C298" s="1" t="s">
        <v>44</v>
      </c>
      <c r="D298" s="82">
        <f t="shared" si="1"/>
        <v>1739.5</v>
      </c>
      <c r="E298" s="83"/>
    </row>
    <row r="299" spans="1:5" s="84" customFormat="1">
      <c r="A299" s="81">
        <v>45451</v>
      </c>
      <c r="B299" s="85">
        <v>232</v>
      </c>
      <c r="C299" s="40" t="s">
        <v>212</v>
      </c>
      <c r="D299" s="82">
        <f t="shared" si="1"/>
        <v>1739.5</v>
      </c>
      <c r="E299" s="83"/>
    </row>
    <row r="300" spans="1:5" s="84" customFormat="1">
      <c r="A300" s="81">
        <v>45467</v>
      </c>
      <c r="B300" s="85">
        <v>233</v>
      </c>
      <c r="C300" s="40" t="s">
        <v>213</v>
      </c>
      <c r="D300" s="82">
        <f t="shared" si="1"/>
        <v>1739.5</v>
      </c>
      <c r="E300" s="83"/>
    </row>
    <row r="301" spans="1:5" s="84" customFormat="1" ht="46.8">
      <c r="A301" s="81">
        <v>45202</v>
      </c>
      <c r="B301" s="85">
        <v>234</v>
      </c>
      <c r="C301" s="1" t="s">
        <v>216</v>
      </c>
      <c r="D301" s="82">
        <f t="shared" si="1"/>
        <v>1739.5</v>
      </c>
      <c r="E301" s="83"/>
    </row>
    <row r="302" spans="1:5" s="84" customFormat="1">
      <c r="A302" s="81">
        <v>45015</v>
      </c>
      <c r="B302" s="85">
        <v>235</v>
      </c>
      <c r="C302" s="1" t="s">
        <v>214</v>
      </c>
      <c r="D302" s="82">
        <f t="shared" si="1"/>
        <v>1739.5</v>
      </c>
      <c r="E302" s="83"/>
    </row>
    <row r="303" spans="1:5" s="84" customFormat="1">
      <c r="A303" s="81">
        <v>45015</v>
      </c>
      <c r="B303" s="85">
        <v>236</v>
      </c>
      <c r="C303" s="1" t="s">
        <v>215</v>
      </c>
      <c r="D303" s="82">
        <f t="shared" si="1"/>
        <v>1739.5</v>
      </c>
      <c r="E303" s="83"/>
    </row>
    <row r="304" spans="1:5" s="59" customFormat="1">
      <c r="A304" s="103"/>
      <c r="B304" s="104"/>
      <c r="C304" s="31"/>
      <c r="D304" s="11"/>
      <c r="E304" s="8"/>
    </row>
    <row r="305" spans="1:5" s="91" customFormat="1" ht="31.2">
      <c r="A305" s="87"/>
      <c r="B305" s="130" t="s">
        <v>54</v>
      </c>
      <c r="C305" s="41" t="s">
        <v>45</v>
      </c>
      <c r="D305" s="89"/>
      <c r="E305" s="131"/>
    </row>
    <row r="306" spans="1:5" s="91" customFormat="1" ht="46.8">
      <c r="A306" s="87"/>
      <c r="B306" s="100" t="s">
        <v>30</v>
      </c>
      <c r="C306" s="41" t="s">
        <v>56</v>
      </c>
      <c r="D306" s="89"/>
      <c r="E306" s="90"/>
    </row>
    <row r="307" spans="1:5" s="18" customFormat="1">
      <c r="A307" s="57">
        <v>44977</v>
      </c>
      <c r="B307" s="132">
        <v>237</v>
      </c>
      <c r="C307" s="42" t="s">
        <v>105</v>
      </c>
      <c r="D307" s="11">
        <f>2300*2</f>
        <v>4600</v>
      </c>
      <c r="E307" s="19"/>
    </row>
    <row r="308" spans="1:5" s="18" customFormat="1">
      <c r="A308" s="57">
        <v>45112</v>
      </c>
      <c r="B308" s="132">
        <v>238</v>
      </c>
      <c r="C308" s="42" t="s">
        <v>106</v>
      </c>
      <c r="D308" s="11">
        <f>2300*2</f>
        <v>4600</v>
      </c>
      <c r="E308" s="19"/>
    </row>
    <row r="309" spans="1:5" s="18" customFormat="1">
      <c r="A309" s="57">
        <v>45141</v>
      </c>
      <c r="B309" s="132">
        <v>239</v>
      </c>
      <c r="C309" s="42" t="s">
        <v>107</v>
      </c>
      <c r="D309" s="11">
        <f>2300*1.5</f>
        <v>3450</v>
      </c>
      <c r="E309" s="19"/>
    </row>
    <row r="310" spans="1:5" s="18" customFormat="1">
      <c r="A310" s="57">
        <v>45245</v>
      </c>
      <c r="B310" s="132">
        <v>240</v>
      </c>
      <c r="C310" s="42" t="s">
        <v>108</v>
      </c>
      <c r="D310" s="11">
        <f>2300*3</f>
        <v>6900</v>
      </c>
      <c r="E310" s="19"/>
    </row>
    <row r="311" spans="1:5" s="18" customFormat="1">
      <c r="A311" s="57">
        <v>45336</v>
      </c>
      <c r="B311" s="132">
        <v>241</v>
      </c>
      <c r="C311" s="42" t="s">
        <v>109</v>
      </c>
      <c r="D311" s="11">
        <f>2300*1.5</f>
        <v>3450</v>
      </c>
      <c r="E311" s="19"/>
    </row>
    <row r="312" spans="1:5" s="18" customFormat="1">
      <c r="A312" s="57"/>
      <c r="B312" s="132"/>
      <c r="C312" s="42"/>
      <c r="D312" s="11"/>
      <c r="E312" s="19"/>
    </row>
    <row r="313" spans="1:5" s="135" customFormat="1">
      <c r="A313" s="133"/>
      <c r="B313" s="100" t="s">
        <v>264</v>
      </c>
      <c r="C313" s="43" t="s">
        <v>265</v>
      </c>
      <c r="D313" s="134"/>
      <c r="E313" s="131"/>
    </row>
    <row r="314" spans="1:5" s="18" customFormat="1">
      <c r="A314" s="136">
        <v>45482</v>
      </c>
      <c r="B314" s="137">
        <v>242</v>
      </c>
      <c r="C314" s="44" t="s">
        <v>46</v>
      </c>
      <c r="D314" s="11">
        <v>10000</v>
      </c>
      <c r="E314" s="19"/>
    </row>
    <row r="315" spans="1:5" s="18" customFormat="1">
      <c r="A315" s="136">
        <v>45483</v>
      </c>
      <c r="B315" s="137">
        <v>243</v>
      </c>
      <c r="C315" s="44" t="s">
        <v>46</v>
      </c>
      <c r="D315" s="11">
        <v>10000</v>
      </c>
      <c r="E315" s="19"/>
    </row>
    <row r="316" spans="1:5" s="18" customFormat="1">
      <c r="A316" s="136">
        <v>45484</v>
      </c>
      <c r="B316" s="137">
        <v>244</v>
      </c>
      <c r="C316" s="10" t="s">
        <v>46</v>
      </c>
      <c r="D316" s="11">
        <v>10000</v>
      </c>
      <c r="E316" s="19"/>
    </row>
    <row r="317" spans="1:5" s="18" customFormat="1">
      <c r="A317" s="136">
        <v>45497</v>
      </c>
      <c r="B317" s="137">
        <v>245</v>
      </c>
      <c r="C317" s="10" t="s">
        <v>46</v>
      </c>
      <c r="D317" s="11">
        <v>10000</v>
      </c>
      <c r="E317" s="19"/>
    </row>
    <row r="318" spans="1:5" s="18" customFormat="1">
      <c r="A318" s="136">
        <v>45498</v>
      </c>
      <c r="B318" s="137">
        <v>246</v>
      </c>
      <c r="C318" s="10" t="s">
        <v>46</v>
      </c>
      <c r="D318" s="11">
        <v>10000</v>
      </c>
      <c r="E318" s="19"/>
    </row>
    <row r="319" spans="1:5" s="18" customFormat="1">
      <c r="A319" s="136">
        <v>45523</v>
      </c>
      <c r="B319" s="137">
        <v>247</v>
      </c>
      <c r="C319" s="10" t="s">
        <v>46</v>
      </c>
      <c r="D319" s="11">
        <v>10000</v>
      </c>
      <c r="E319" s="19"/>
    </row>
    <row r="320" spans="1:5" s="18" customFormat="1">
      <c r="A320" s="136">
        <v>45524</v>
      </c>
      <c r="B320" s="137">
        <v>248</v>
      </c>
      <c r="C320" s="10" t="s">
        <v>46</v>
      </c>
      <c r="D320" s="11">
        <v>10000</v>
      </c>
      <c r="E320" s="19"/>
    </row>
    <row r="321" spans="1:6" s="18" customFormat="1">
      <c r="A321" s="136">
        <v>45525</v>
      </c>
      <c r="B321" s="137">
        <v>249</v>
      </c>
      <c r="C321" s="10" t="s">
        <v>46</v>
      </c>
      <c r="D321" s="11">
        <v>10000</v>
      </c>
      <c r="E321" s="19"/>
    </row>
    <row r="322" spans="1:6" s="18" customFormat="1">
      <c r="A322" s="136">
        <v>45526</v>
      </c>
      <c r="B322" s="137">
        <v>250</v>
      </c>
      <c r="C322" s="10" t="s">
        <v>110</v>
      </c>
      <c r="D322" s="11">
        <v>10000</v>
      </c>
      <c r="E322" s="19"/>
    </row>
    <row r="323" spans="1:6" s="18" customFormat="1">
      <c r="A323" s="136"/>
      <c r="B323" s="137"/>
      <c r="C323" s="10"/>
      <c r="D323" s="11"/>
      <c r="E323" s="19"/>
    </row>
    <row r="324" spans="1:6" s="59" customFormat="1">
      <c r="B324" s="138"/>
      <c r="C324" s="45" t="s">
        <v>47</v>
      </c>
      <c r="D324" s="11"/>
      <c r="E324" s="8"/>
    </row>
    <row r="325" spans="1:6" s="59" customFormat="1" ht="46.8">
      <c r="A325" s="8"/>
      <c r="B325" s="9" t="s">
        <v>55</v>
      </c>
      <c r="C325" s="46" t="s">
        <v>289</v>
      </c>
      <c r="D325" s="11"/>
      <c r="E325" s="8"/>
    </row>
    <row r="326" spans="1:6" s="59" customFormat="1" ht="18.600000000000001" customHeight="1">
      <c r="A326" s="8"/>
      <c r="B326" s="138"/>
      <c r="C326" s="47" t="s">
        <v>48</v>
      </c>
      <c r="D326" s="11"/>
      <c r="E326" s="139"/>
    </row>
    <row r="327" spans="1:6" s="59" customFormat="1" ht="47.4" customHeight="1">
      <c r="A327" s="8"/>
      <c r="B327" s="9"/>
      <c r="C327" s="48" t="s">
        <v>49</v>
      </c>
      <c r="D327" s="11"/>
      <c r="E327" s="8"/>
    </row>
    <row r="328" spans="1:6" s="59" customFormat="1" ht="24.45" customHeight="1">
      <c r="A328" s="90"/>
      <c r="B328" s="88" t="s">
        <v>51</v>
      </c>
      <c r="C328" s="43" t="s">
        <v>50</v>
      </c>
      <c r="D328" s="140">
        <f>SUM(D14:D327)</f>
        <v>29252354.864050001</v>
      </c>
      <c r="E328" s="139"/>
      <c r="F328" s="79"/>
    </row>
    <row r="329" spans="1:6" s="59" customFormat="1" ht="31.2">
      <c r="A329" s="123"/>
      <c r="B329" s="88"/>
      <c r="C329" s="27" t="s">
        <v>280</v>
      </c>
      <c r="D329" s="140">
        <v>1567838.42</v>
      </c>
      <c r="E329" s="139"/>
      <c r="F329" s="79"/>
    </row>
    <row r="330" spans="1:6" s="59" customFormat="1" ht="32.549999999999997" customHeight="1">
      <c r="A330" s="90"/>
      <c r="B330" s="88"/>
      <c r="C330" s="43" t="s">
        <v>281</v>
      </c>
      <c r="D330" s="140">
        <f>D328+D329</f>
        <v>30820193.284050003</v>
      </c>
      <c r="E330" s="8"/>
      <c r="F330" s="79"/>
    </row>
    <row r="331" spans="1:6" s="59" customFormat="1" ht="24.45" customHeight="1">
      <c r="A331" s="141"/>
      <c r="B331" s="142"/>
      <c r="C331" s="49"/>
      <c r="D331" s="143"/>
      <c r="E331" s="61"/>
      <c r="F331" s="79"/>
    </row>
    <row r="332" spans="1:6" s="59" customFormat="1" ht="24.45" customHeight="1">
      <c r="A332" s="144" t="s">
        <v>283</v>
      </c>
      <c r="B332" s="144"/>
      <c r="C332" s="144"/>
      <c r="D332" s="144"/>
      <c r="E332" s="144"/>
      <c r="F332" s="79"/>
    </row>
    <row r="333" spans="1:6" s="59" customFormat="1" ht="24.45" customHeight="1">
      <c r="A333" s="50"/>
      <c r="B333" s="50"/>
      <c r="C333" s="50"/>
      <c r="D333" s="145"/>
      <c r="E333" s="50"/>
      <c r="F333" s="79"/>
    </row>
    <row r="334" spans="1:6" s="59" customFormat="1" ht="24.45" customHeight="1">
      <c r="A334" s="50"/>
      <c r="B334" s="50"/>
      <c r="C334" s="50"/>
      <c r="D334" s="145"/>
      <c r="E334" s="50"/>
      <c r="F334" s="79"/>
    </row>
    <row r="335" spans="1:6" s="59" customFormat="1" ht="36" customHeight="1">
      <c r="A335" s="141"/>
      <c r="B335" s="144" t="s">
        <v>282</v>
      </c>
      <c r="C335" s="144"/>
      <c r="D335" s="144"/>
      <c r="E335" s="144"/>
      <c r="F335" s="79"/>
    </row>
    <row r="336" spans="1:6" s="59" customFormat="1" ht="24.45" customHeight="1">
      <c r="A336" s="141"/>
      <c r="B336" s="142"/>
      <c r="C336" s="49"/>
      <c r="D336" s="143"/>
      <c r="E336" s="61"/>
      <c r="F336" s="79"/>
    </row>
    <row r="337" spans="1:5" s="59" customFormat="1" ht="109.2">
      <c r="A337" s="61"/>
      <c r="B337" s="146"/>
      <c r="C337" s="51" t="s">
        <v>290</v>
      </c>
      <c r="D337" s="143"/>
      <c r="E337" s="61"/>
    </row>
    <row r="338" spans="1:5" s="59" customFormat="1">
      <c r="A338" s="61"/>
      <c r="B338" s="146"/>
      <c r="C338" s="51"/>
      <c r="D338" s="143"/>
      <c r="E338" s="61"/>
    </row>
    <row r="339" spans="1:5" s="59" customFormat="1" ht="146.4" customHeight="1">
      <c r="A339" s="61"/>
      <c r="B339" s="146"/>
      <c r="C339" s="36" t="s">
        <v>291</v>
      </c>
      <c r="D339" s="143"/>
      <c r="E339" s="61"/>
    </row>
    <row r="340" spans="1:5" s="59" customFormat="1" ht="157.19999999999999" customHeight="1">
      <c r="A340" s="61"/>
      <c r="B340" s="146"/>
      <c r="C340" s="36" t="s">
        <v>292</v>
      </c>
      <c r="D340" s="143"/>
      <c r="E340" s="61"/>
    </row>
    <row r="341" spans="1:5" s="59" customFormat="1">
      <c r="A341" s="61"/>
      <c r="B341" s="146"/>
      <c r="C341" s="52"/>
      <c r="D341" s="73"/>
    </row>
    <row r="342" spans="1:5" s="59" customFormat="1">
      <c r="A342" s="61"/>
      <c r="B342" s="146"/>
      <c r="C342" s="53"/>
      <c r="D342" s="73"/>
    </row>
    <row r="343" spans="1:5" s="59" customFormat="1">
      <c r="A343" s="61"/>
      <c r="B343" s="146"/>
      <c r="C343" s="54"/>
      <c r="D343" s="73"/>
    </row>
    <row r="344" spans="1:5" s="59" customFormat="1">
      <c r="A344" s="61"/>
      <c r="B344" s="146"/>
      <c r="C344" s="54"/>
      <c r="D344" s="73"/>
    </row>
    <row r="345" spans="1:5" s="59" customFormat="1">
      <c r="A345" s="61"/>
      <c r="B345" s="146"/>
      <c r="C345" s="52"/>
      <c r="D345" s="73"/>
    </row>
    <row r="346" spans="1:5" s="59" customFormat="1">
      <c r="A346" s="61"/>
      <c r="B346" s="146"/>
      <c r="C346" s="55"/>
      <c r="D346" s="73"/>
    </row>
    <row r="347" spans="1:5" s="59" customFormat="1">
      <c r="A347" s="61"/>
      <c r="B347" s="146"/>
      <c r="C347" s="56"/>
      <c r="D347" s="73"/>
    </row>
    <row r="348" spans="1:5" s="59" customFormat="1">
      <c r="A348" s="61"/>
      <c r="B348" s="146"/>
      <c r="C348" s="56"/>
      <c r="D348" s="73"/>
    </row>
    <row r="349" spans="1:5" s="59" customFormat="1">
      <c r="A349" s="61"/>
      <c r="B349" s="146"/>
      <c r="C349" s="56"/>
      <c r="D349" s="73"/>
    </row>
    <row r="350" spans="1:5" s="59" customFormat="1">
      <c r="A350" s="61"/>
      <c r="B350" s="146"/>
      <c r="C350" s="56"/>
      <c r="D350" s="73"/>
    </row>
    <row r="351" spans="1:5" s="59" customFormat="1">
      <c r="A351" s="61"/>
      <c r="B351" s="146"/>
      <c r="C351" s="56"/>
      <c r="D351" s="73"/>
    </row>
    <row r="352" spans="1:5" s="59" customFormat="1">
      <c r="A352" s="61"/>
      <c r="B352" s="146"/>
      <c r="C352" s="56"/>
      <c r="D352" s="73"/>
    </row>
    <row r="353" spans="1:4" s="59" customFormat="1">
      <c r="A353" s="61"/>
      <c r="B353" s="146"/>
      <c r="C353" s="56"/>
      <c r="D353" s="73"/>
    </row>
    <row r="354" spans="1:4" s="59" customFormat="1">
      <c r="A354" s="61"/>
      <c r="B354" s="146"/>
      <c r="C354" s="56"/>
      <c r="D354" s="73"/>
    </row>
    <row r="355" spans="1:4" s="59" customFormat="1">
      <c r="A355" s="61"/>
      <c r="B355" s="146"/>
      <c r="C355" s="56"/>
      <c r="D355" s="73"/>
    </row>
    <row r="356" spans="1:4" s="59" customFormat="1">
      <c r="A356" s="61"/>
      <c r="B356" s="146"/>
      <c r="C356" s="56"/>
      <c r="D356" s="73"/>
    </row>
    <row r="357" spans="1:4" s="59" customFormat="1">
      <c r="A357" s="61"/>
      <c r="B357" s="146"/>
      <c r="C357" s="56"/>
      <c r="D357" s="73"/>
    </row>
    <row r="358" spans="1:4" s="59" customFormat="1">
      <c r="A358" s="61"/>
      <c r="B358" s="146"/>
      <c r="C358" s="56"/>
      <c r="D358" s="73"/>
    </row>
    <row r="359" spans="1:4" s="59" customFormat="1">
      <c r="A359" s="61"/>
      <c r="B359" s="146"/>
      <c r="C359" s="56"/>
      <c r="D359" s="73"/>
    </row>
    <row r="360" spans="1:4" s="59" customFormat="1">
      <c r="A360" s="61"/>
      <c r="B360" s="146"/>
      <c r="C360" s="56"/>
      <c r="D360" s="73"/>
    </row>
    <row r="361" spans="1:4" s="59" customFormat="1">
      <c r="A361" s="61"/>
      <c r="B361" s="146"/>
      <c r="C361" s="56"/>
      <c r="D361" s="73"/>
    </row>
    <row r="362" spans="1:4" s="59" customFormat="1">
      <c r="A362" s="61"/>
      <c r="B362" s="147"/>
      <c r="C362" s="56"/>
      <c r="D362" s="73"/>
    </row>
    <row r="363" spans="1:4" s="59" customFormat="1">
      <c r="A363" s="61"/>
      <c r="B363" s="146"/>
      <c r="C363" s="56"/>
      <c r="D363" s="73"/>
    </row>
  </sheetData>
  <mergeCells count="11">
    <mergeCell ref="A332:E332"/>
    <mergeCell ref="B335:E335"/>
    <mergeCell ref="A1:E1"/>
    <mergeCell ref="A2:E2"/>
    <mergeCell ref="A3:E3"/>
    <mergeCell ref="A4:E4"/>
    <mergeCell ref="A5:E5"/>
    <mergeCell ref="A7:E7"/>
    <mergeCell ref="A8:E8"/>
    <mergeCell ref="A9:E9"/>
    <mergeCell ref="A10:E10"/>
  </mergeCells>
  <pageMargins left="0.7" right="0.7" top="0.75" bottom="0.75" header="0.3" footer="0.3"/>
  <pageSetup paperSize="9" scale="10" orientation="portrait" r:id="rId1"/>
  <rowBreaks count="1" manualBreakCount="1">
    <brk id="351" max="10" man="1"/>
  </rowBreaks>
  <ignoredErrors>
    <ignoredError sqref="D3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Doreen Khizi</cp:lastModifiedBy>
  <cp:lastPrinted>2023-11-22T07:15:28Z</cp:lastPrinted>
  <dcterms:created xsi:type="dcterms:W3CDTF">2023-10-02T05:54:00Z</dcterms:created>
  <dcterms:modified xsi:type="dcterms:W3CDTF">2026-02-26T14:35:07Z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23E85ABC58CB43B8BCFD7FEB30A48153_12</vt:lpwstr>
  </property>
  <property fmtid="{D5CDD505-2E9C-101B-9397-08002B2CF9AE}" pid="3" name="KSOProductBuildVer">
    <vt:lpwstr>2057-12.2.0.13266</vt:lpwstr>
  </property>
</Properties>
</file>
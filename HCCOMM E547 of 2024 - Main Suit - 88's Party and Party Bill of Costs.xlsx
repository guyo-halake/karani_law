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esktop\Documents\"/>
    </mc:Choice>
  </mc:AlternateContent>
  <bookViews>
    <workbookView xWindow="0" yWindow="0" windowWidth="23040" windowHeight="9192"/>
  </bookViews>
  <sheets>
    <sheet name="Sheet1" sheetId="1" r:id="rId1"/>
  </sheets>
  <definedNames>
    <definedName name="_xlnm.Print_Area" localSheetId="0">Sheet1!$A$1:$F$51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5" i="1" l="1"/>
  <c r="D32" i="1"/>
  <c r="D29" i="1"/>
  <c r="D7" i="1"/>
  <c r="D13" i="1" s="1"/>
  <c r="D46" i="1" s="1"/>
  <c r="D23" i="1"/>
  <c r="D22" i="1"/>
  <c r="D21" i="1"/>
  <c r="D20" i="1"/>
  <c r="D19" i="1"/>
  <c r="D18" i="1"/>
  <c r="D47" i="1" l="1"/>
  <c r="D48" i="1" s="1"/>
</calcChain>
</file>

<file path=xl/sharedStrings.xml><?xml version="1.0" encoding="utf-8"?>
<sst xmlns="http://schemas.openxmlformats.org/spreadsheetml/2006/main" count="52" uniqueCount="44">
  <si>
    <t>REPUBLIC OF KENYA 
IN THE HIGH COURT OF KENYA AT NAIROBI
COMMERCIAL AND ADMIRALITY DIVISION 
CIVIL CASE NO. E547 OF 2024</t>
  </si>
  <si>
    <t>DATE</t>
  </si>
  <si>
    <t>ITEM</t>
  </si>
  <si>
    <t>PARTICULARS OF SERVICES RENDERED</t>
  </si>
  <si>
    <t>AMOUNT CLAIMED</t>
  </si>
  <si>
    <t>AMOUNT TAXED</t>
  </si>
  <si>
    <t>A</t>
  </si>
  <si>
    <t xml:space="preserve">Instructions Fees: </t>
  </si>
  <si>
    <t>B</t>
  </si>
  <si>
    <t>Taking into Consideration the following:</t>
  </si>
  <si>
    <t>Necessary Perusal of the following served documents:</t>
  </si>
  <si>
    <t>C</t>
  </si>
  <si>
    <t>Court Attendances</t>
  </si>
  <si>
    <t>D</t>
  </si>
  <si>
    <t>Sub-total</t>
  </si>
  <si>
    <t>E</t>
  </si>
  <si>
    <t>VAT @ 16%</t>
  </si>
  <si>
    <t>F</t>
  </si>
  <si>
    <t>TOTAL</t>
  </si>
  <si>
    <t>i. An Order for Permanent Injunction barring the Defendants and the Interested Party, whether by themselves, their agents, servants or assigns from encashing, calling and/or receiving any payments from Standard Chartered Bank (Kenya) Limited in respect of Performance Guarantee No. 201020235547 issued on 1st December 2023 and amended on 28th May 2024.</t>
  </si>
  <si>
    <t xml:space="preserve">ii. Damages for inconvenience suffered as a direct result of the Defendant's breach of contract. </t>
  </si>
  <si>
    <t xml:space="preserve">iii. Costs and interest </t>
  </si>
  <si>
    <t>iv. Any other relief that this Honourable Court deems just and fit to grant.</t>
  </si>
  <si>
    <t>Plaint dated 10th September 2024 (13 folios)</t>
  </si>
  <si>
    <t>Plaintiff's Verifying Affidavit sworn by Lin Zi Jun on 10th September 2024 (2 folios)</t>
  </si>
  <si>
    <t>Plaintiff's List of Witnesses dated 10th September 2024 (1 folio)</t>
  </si>
  <si>
    <t>Plaintiff's Witness Statement of Lin Zi Jun dated 11th September 2024 (9 folios)</t>
  </si>
  <si>
    <t>Plaintiff's List of Documents dated 10th September 2024 (4 folios)</t>
  </si>
  <si>
    <t>Plaintiff's Bundle of Documents (699 folios)</t>
  </si>
  <si>
    <t xml:space="preserve">To receiving instructions to act on behalf of the 1st and 2nd Respondent in responding to the Plaintiff's suit dated 10th September 2024 seeking for the following orders: </t>
  </si>
  <si>
    <t xml:space="preserve">ZHENJIAN CHENGJIAN CONSTRUCTION AFRICA LIMITED……………......PLAINTIFF
VERSUS
EIGHTY EIGHT NAIROBI LIMITED……………………….........................1ST DEFENDANT
WHITE STEID CONSTRUCTION LIMITED……………………………....2ND DEFENDANT
AND
STANDARD CHARTERED BANK (KENYA) LIMITED……………...INTERESTED PARTY </t>
  </si>
  <si>
    <t>1ST &amp; 2ND DEFENDANTS' PARTY AND PARTY BILL OF COSTS</t>
  </si>
  <si>
    <t>An Application dated 10th March 2025 seeking the following orders:</t>
  </si>
  <si>
    <t>a) An order be and is hereby made declaring the suit instituted on 10th September 2024 to have abated.</t>
  </si>
  <si>
    <t>b) The suit be and is hereby dismissed with costs to the Defendants/Applicants</t>
  </si>
  <si>
    <t>The Supporting Affidavit of the 1st Defendant sworn by Jonathan Jackson on 10th March 2025</t>
  </si>
  <si>
    <t>The Supporting Affidavit of the 2nd Defendant sworn by Edward Ochego on 10th March 2025</t>
  </si>
  <si>
    <t>Court attendance on for mention</t>
  </si>
  <si>
    <t>Court attendance on for Directions</t>
  </si>
  <si>
    <t>Drawing, Serving &amp; Making copies of the following documents:</t>
  </si>
  <si>
    <t xml:space="preserve">Making two copies thereof </t>
  </si>
  <si>
    <t xml:space="preserve">Effecting Service thereof </t>
  </si>
  <si>
    <t xml:space="preserve">Instruction Fees taking into Account paragraph 1 (a) of Schedule 6 of the ARO </t>
  </si>
  <si>
    <r>
      <t xml:space="preserve">(a) To sue in an ordinary suit in which no appearances is entered under Order IX A of the Civil Procedure Rules where no application for leave to appear and defend is made, the fee shall be </t>
    </r>
    <r>
      <rPr>
        <b/>
        <sz val="12"/>
        <color theme="1"/>
        <rFont val="Times New Roman"/>
        <family val="1"/>
      </rPr>
      <t xml:space="preserve">65% of the fees chargeable </t>
    </r>
    <r>
      <rPr>
        <sz val="12"/>
        <color theme="1"/>
        <rFont val="Times New Roman"/>
        <family val="1"/>
      </rPr>
      <t xml:space="preserve">under item 1(a)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</si>
</sst>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_-;\-* #,##0.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Maiandra GD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43" fontId="3" fillId="0" borderId="0" xfId="1" applyFont="1"/>
    <xf numFmtId="0" fontId="3" fillId="0" borderId="0" xfId="0" applyFont="1"/>
    <xf numFmtId="0" fontId="4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3" fontId="2" fillId="0" borderId="2" xfId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2" fillId="0" borderId="5" xfId="0" applyFont="1" applyBorder="1" applyAlignment="1">
      <alignment horizontal="left" wrapText="1"/>
    </xf>
    <xf numFmtId="43" fontId="3" fillId="0" borderId="4" xfId="1" applyFont="1" applyBorder="1"/>
    <xf numFmtId="0" fontId="3" fillId="0" borderId="6" xfId="0" applyFont="1" applyBorder="1"/>
    <xf numFmtId="0" fontId="3" fillId="0" borderId="4" xfId="0" applyFont="1" applyBorder="1" applyAlignment="1">
      <alignment horizontal="left"/>
    </xf>
    <xf numFmtId="1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left" wrapText="1"/>
    </xf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wrapText="1"/>
    </xf>
    <xf numFmtId="43" fontId="3" fillId="0" borderId="7" xfId="1" applyFont="1" applyBorder="1"/>
    <xf numFmtId="0" fontId="3" fillId="0" borderId="8" xfId="0" applyFont="1" applyBorder="1"/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43" fontId="3" fillId="0" borderId="2" xfId="1" applyFont="1" applyBorder="1" applyAlignment="1">
      <alignment wrapText="1"/>
    </xf>
    <xf numFmtId="0" fontId="3" fillId="0" borderId="3" xfId="0" applyFont="1" applyBorder="1" applyAlignment="1">
      <alignment wrapText="1"/>
    </xf>
    <xf numFmtId="14" fontId="3" fillId="0" borderId="2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14" fontId="3" fillId="0" borderId="2" xfId="0" applyNumberFormat="1" applyFont="1" applyBorder="1" applyAlignment="1">
      <alignment wrapText="1"/>
    </xf>
    <xf numFmtId="2" fontId="3" fillId="0" borderId="2" xfId="0" applyNumberFormat="1" applyFont="1" applyBorder="1" applyAlignment="1">
      <alignment wrapText="1"/>
    </xf>
    <xf numFmtId="164" fontId="3" fillId="0" borderId="2" xfId="1" applyNumberFormat="1" applyFont="1" applyBorder="1" applyAlignment="1">
      <alignment wrapText="1"/>
    </xf>
    <xf numFmtId="0" fontId="5" fillId="0" borderId="2" xfId="0" applyFont="1" applyBorder="1" applyAlignment="1">
      <alignment horizontal="center"/>
    </xf>
    <xf numFmtId="0" fontId="3" fillId="0" borderId="9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9" xfId="0" applyFont="1" applyBorder="1" applyAlignment="1">
      <alignment wrapText="1"/>
    </xf>
    <xf numFmtId="43" fontId="3" fillId="0" borderId="6" xfId="0" applyNumberFormat="1" applyFont="1" applyBorder="1"/>
    <xf numFmtId="0" fontId="2" fillId="0" borderId="4" xfId="0" applyFont="1" applyBorder="1" applyAlignment="1">
      <alignment horizontal="left" wrapText="1"/>
    </xf>
    <xf numFmtId="43" fontId="2" fillId="0" borderId="2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tabSelected="1" zoomScaleNormal="100" workbookViewId="0">
      <selection activeCell="D41" sqref="D41"/>
    </sheetView>
  </sheetViews>
  <sheetFormatPr defaultRowHeight="14.4" x14ac:dyDescent="0.3"/>
  <cols>
    <col min="1" max="1" width="12.109375" customWidth="1"/>
    <col min="3" max="3" width="34.88671875" customWidth="1"/>
    <col min="4" max="4" width="27.21875" customWidth="1"/>
    <col min="5" max="5" width="19.33203125" customWidth="1"/>
  </cols>
  <sheetData>
    <row r="1" spans="1:5" ht="15.6" x14ac:dyDescent="0.3">
      <c r="A1" s="1" t="s">
        <v>0</v>
      </c>
      <c r="B1" s="1"/>
      <c r="C1" s="1"/>
      <c r="D1" s="1"/>
      <c r="E1" s="1"/>
    </row>
    <row r="2" spans="1:5" ht="117" customHeight="1" x14ac:dyDescent="0.3">
      <c r="A2" s="1" t="s">
        <v>30</v>
      </c>
      <c r="B2" s="1"/>
      <c r="C2" s="1"/>
      <c r="D2" s="1"/>
      <c r="E2" s="1"/>
    </row>
    <row r="3" spans="1:5" ht="15.6" x14ac:dyDescent="0.3">
      <c r="A3" s="2"/>
      <c r="B3" s="2"/>
      <c r="C3" s="2"/>
      <c r="D3" s="3"/>
      <c r="E3" s="4"/>
    </row>
    <row r="4" spans="1:5" ht="15.6" x14ac:dyDescent="0.3">
      <c r="A4" s="5" t="s">
        <v>31</v>
      </c>
      <c r="B4" s="5"/>
      <c r="C4" s="5"/>
      <c r="D4" s="5"/>
      <c r="E4" s="5"/>
    </row>
    <row r="5" spans="1:5" ht="31.8" customHeight="1" x14ac:dyDescent="0.3">
      <c r="A5" s="6" t="s">
        <v>1</v>
      </c>
      <c r="B5" s="6" t="s">
        <v>2</v>
      </c>
      <c r="C5" s="7" t="s">
        <v>3</v>
      </c>
      <c r="D5" s="8" t="s">
        <v>4</v>
      </c>
      <c r="E5" s="7" t="s">
        <v>5</v>
      </c>
    </row>
    <row r="6" spans="1:5" ht="25.2" customHeight="1" x14ac:dyDescent="0.3">
      <c r="A6" s="9">
        <v>45549</v>
      </c>
      <c r="B6" s="10" t="s">
        <v>6</v>
      </c>
      <c r="C6" s="11" t="s">
        <v>7</v>
      </c>
      <c r="D6" s="12"/>
      <c r="E6" s="13"/>
    </row>
    <row r="7" spans="1:5" ht="82.8" customHeight="1" x14ac:dyDescent="0.3">
      <c r="A7" s="14"/>
      <c r="B7" s="15">
        <v>1</v>
      </c>
      <c r="C7" s="16" t="s">
        <v>29</v>
      </c>
      <c r="D7" s="12">
        <f>120000+1.75%*(20000000-1000000)</f>
        <v>452500.00000000006</v>
      </c>
      <c r="E7" s="36"/>
    </row>
    <row r="8" spans="1:5" ht="177" customHeight="1" x14ac:dyDescent="0.3">
      <c r="A8" s="14"/>
      <c r="B8" s="10"/>
      <c r="C8" s="16" t="s">
        <v>19</v>
      </c>
      <c r="D8" s="12"/>
      <c r="E8" s="13"/>
    </row>
    <row r="9" spans="1:5" ht="51" customHeight="1" x14ac:dyDescent="0.3">
      <c r="A9" s="14"/>
      <c r="B9" s="10"/>
      <c r="C9" s="16" t="s">
        <v>20</v>
      </c>
      <c r="D9" s="12"/>
      <c r="E9" s="13"/>
    </row>
    <row r="10" spans="1:5" ht="18.600000000000001" customHeight="1" x14ac:dyDescent="0.3">
      <c r="A10" s="14"/>
      <c r="B10" s="10"/>
      <c r="C10" s="16" t="s">
        <v>21</v>
      </c>
      <c r="D10" s="12"/>
      <c r="E10" s="13"/>
    </row>
    <row r="11" spans="1:5" ht="49.2" customHeight="1" x14ac:dyDescent="0.3">
      <c r="A11" s="14"/>
      <c r="B11" s="10"/>
      <c r="C11" s="16" t="s">
        <v>22</v>
      </c>
      <c r="D11" s="12"/>
      <c r="E11" s="13"/>
    </row>
    <row r="12" spans="1:5" ht="15.6" customHeight="1" x14ac:dyDescent="0.3">
      <c r="A12" s="14"/>
      <c r="B12" s="10"/>
      <c r="C12" s="16"/>
      <c r="D12" s="12"/>
      <c r="E12" s="13"/>
    </row>
    <row r="13" spans="1:5" ht="49.2" customHeight="1" x14ac:dyDescent="0.3">
      <c r="A13" s="14"/>
      <c r="B13" s="10"/>
      <c r="C13" s="37" t="s">
        <v>42</v>
      </c>
      <c r="D13" s="12">
        <f>65%*D7</f>
        <v>294125.00000000006</v>
      </c>
      <c r="E13" s="13"/>
    </row>
    <row r="14" spans="1:5" ht="93" customHeight="1" x14ac:dyDescent="0.3">
      <c r="A14" s="14"/>
      <c r="B14" s="10"/>
      <c r="C14" s="16" t="s">
        <v>43</v>
      </c>
      <c r="D14" s="12"/>
      <c r="E14" s="13"/>
    </row>
    <row r="15" spans="1:5" ht="15.6" x14ac:dyDescent="0.3">
      <c r="A15" s="17"/>
      <c r="B15" s="18"/>
      <c r="C15" s="19"/>
      <c r="D15" s="20"/>
      <c r="E15" s="21"/>
    </row>
    <row r="16" spans="1:5" ht="30" customHeight="1" x14ac:dyDescent="0.3">
      <c r="A16" s="22"/>
      <c r="B16" s="23" t="s">
        <v>8</v>
      </c>
      <c r="C16" s="24" t="s">
        <v>9</v>
      </c>
      <c r="D16" s="25"/>
      <c r="E16" s="26"/>
    </row>
    <row r="17" spans="1:5" ht="32.4" customHeight="1" x14ac:dyDescent="0.3">
      <c r="A17" s="22"/>
      <c r="B17" s="23"/>
      <c r="C17" s="24" t="s">
        <v>10</v>
      </c>
      <c r="D17" s="25"/>
      <c r="E17" s="22"/>
    </row>
    <row r="18" spans="1:5" ht="31.2" customHeight="1" x14ac:dyDescent="0.3">
      <c r="A18" s="27">
        <v>45716</v>
      </c>
      <c r="B18" s="28">
        <v>2</v>
      </c>
      <c r="C18" s="22" t="s">
        <v>23</v>
      </c>
      <c r="D18" s="25">
        <f>13*50</f>
        <v>650</v>
      </c>
      <c r="E18" s="22"/>
    </row>
    <row r="19" spans="1:5" ht="44.4" customHeight="1" x14ac:dyDescent="0.3">
      <c r="A19" s="29"/>
      <c r="B19" s="23">
        <v>3</v>
      </c>
      <c r="C19" s="22" t="s">
        <v>24</v>
      </c>
      <c r="D19" s="25">
        <f>50*2</f>
        <v>100</v>
      </c>
      <c r="E19" s="22"/>
    </row>
    <row r="20" spans="1:5" ht="31.2" customHeight="1" x14ac:dyDescent="0.3">
      <c r="A20" s="29"/>
      <c r="B20" s="23">
        <v>4</v>
      </c>
      <c r="C20" s="22" t="s">
        <v>25</v>
      </c>
      <c r="D20" s="25">
        <f>50*1</f>
        <v>50</v>
      </c>
      <c r="E20" s="22"/>
    </row>
    <row r="21" spans="1:5" ht="46.8" x14ac:dyDescent="0.3">
      <c r="A21" s="30"/>
      <c r="B21" s="23">
        <v>5</v>
      </c>
      <c r="C21" s="22" t="s">
        <v>26</v>
      </c>
      <c r="D21" s="25">
        <f>50*9</f>
        <v>450</v>
      </c>
      <c r="E21" s="22"/>
    </row>
    <row r="22" spans="1:5" ht="31.2" x14ac:dyDescent="0.3">
      <c r="A22" s="30"/>
      <c r="B22" s="23">
        <v>6</v>
      </c>
      <c r="C22" s="22" t="s">
        <v>27</v>
      </c>
      <c r="D22" s="25">
        <f>50*4</f>
        <v>200</v>
      </c>
      <c r="E22" s="22"/>
    </row>
    <row r="23" spans="1:5" ht="31.2" x14ac:dyDescent="0.3">
      <c r="A23" s="30"/>
      <c r="B23" s="23">
        <v>7</v>
      </c>
      <c r="C23" s="22" t="s">
        <v>28</v>
      </c>
      <c r="D23" s="25">
        <f>50*699</f>
        <v>34950</v>
      </c>
      <c r="E23" s="22"/>
    </row>
    <row r="24" spans="1:5" ht="15.6" x14ac:dyDescent="0.3">
      <c r="A24" s="30"/>
      <c r="B24" s="23"/>
      <c r="C24" s="22"/>
      <c r="D24" s="25"/>
      <c r="E24" s="22"/>
    </row>
    <row r="25" spans="1:5" ht="31.8" customHeight="1" x14ac:dyDescent="0.3">
      <c r="A25" s="31"/>
      <c r="B25" s="23" t="s">
        <v>11</v>
      </c>
      <c r="C25" s="24" t="s">
        <v>39</v>
      </c>
      <c r="D25" s="25"/>
      <c r="E25" s="22"/>
    </row>
    <row r="26" spans="1:5" ht="31.2" customHeight="1" x14ac:dyDescent="0.3">
      <c r="A26" s="27">
        <v>45726</v>
      </c>
      <c r="B26" s="32">
        <v>8</v>
      </c>
      <c r="C26" s="22" t="s">
        <v>32</v>
      </c>
      <c r="D26" s="25">
        <v>1100</v>
      </c>
      <c r="E26" s="22"/>
    </row>
    <row r="27" spans="1:5" ht="46.2" customHeight="1" x14ac:dyDescent="0.3">
      <c r="A27" s="27"/>
      <c r="B27" s="32"/>
      <c r="C27" s="22" t="s">
        <v>33</v>
      </c>
      <c r="D27" s="25"/>
      <c r="E27" s="22"/>
    </row>
    <row r="28" spans="1:5" ht="50.4" customHeight="1" x14ac:dyDescent="0.3">
      <c r="A28" s="27"/>
      <c r="B28" s="32"/>
      <c r="C28" s="22" t="s">
        <v>34</v>
      </c>
      <c r="D28" s="25"/>
      <c r="E28" s="22"/>
    </row>
    <row r="29" spans="1:5" ht="21" customHeight="1" x14ac:dyDescent="0.3">
      <c r="A29" s="27"/>
      <c r="B29" s="32"/>
      <c r="C29" s="22" t="s">
        <v>40</v>
      </c>
      <c r="D29" s="25">
        <f>25*3</f>
        <v>75</v>
      </c>
      <c r="E29" s="22"/>
    </row>
    <row r="30" spans="1:5" ht="18.600000000000001" customHeight="1" x14ac:dyDescent="0.3">
      <c r="A30" s="27"/>
      <c r="B30" s="32"/>
      <c r="C30" s="22" t="s">
        <v>41</v>
      </c>
      <c r="D30" s="25">
        <v>1400</v>
      </c>
      <c r="E30" s="22"/>
    </row>
    <row r="31" spans="1:5" ht="46.8" customHeight="1" x14ac:dyDescent="0.3">
      <c r="A31" s="27"/>
      <c r="B31" s="32">
        <v>9</v>
      </c>
      <c r="C31" s="22" t="s">
        <v>35</v>
      </c>
      <c r="D31" s="25">
        <v>1100</v>
      </c>
      <c r="E31" s="22"/>
    </row>
    <row r="32" spans="1:5" ht="21" customHeight="1" x14ac:dyDescent="0.3">
      <c r="A32" s="27"/>
      <c r="B32" s="32">
        <v>10</v>
      </c>
      <c r="C32" s="22" t="s">
        <v>40</v>
      </c>
      <c r="D32" s="25">
        <f>25*3</f>
        <v>75</v>
      </c>
      <c r="E32" s="22"/>
    </row>
    <row r="33" spans="1:5" ht="18.600000000000001" customHeight="1" x14ac:dyDescent="0.3">
      <c r="A33" s="27"/>
      <c r="B33" s="32">
        <v>11</v>
      </c>
      <c r="C33" s="22" t="s">
        <v>41</v>
      </c>
      <c r="D33" s="25">
        <v>1400</v>
      </c>
      <c r="E33" s="22"/>
    </row>
    <row r="34" spans="1:5" ht="48.6" customHeight="1" x14ac:dyDescent="0.3">
      <c r="A34" s="27"/>
      <c r="B34" s="32">
        <v>12</v>
      </c>
      <c r="C34" s="22" t="s">
        <v>36</v>
      </c>
      <c r="D34" s="25">
        <v>1100</v>
      </c>
      <c r="E34" s="22"/>
    </row>
    <row r="35" spans="1:5" ht="21" customHeight="1" x14ac:dyDescent="0.3">
      <c r="A35" s="27"/>
      <c r="B35" s="32">
        <v>13</v>
      </c>
      <c r="C35" s="22" t="s">
        <v>40</v>
      </c>
      <c r="D35" s="25">
        <f>25*3</f>
        <v>75</v>
      </c>
      <c r="E35" s="22"/>
    </row>
    <row r="36" spans="1:5" ht="18.600000000000001" customHeight="1" x14ac:dyDescent="0.3">
      <c r="A36" s="27"/>
      <c r="B36" s="32">
        <v>14</v>
      </c>
      <c r="C36" s="22" t="s">
        <v>41</v>
      </c>
      <c r="D36" s="25">
        <v>1400</v>
      </c>
      <c r="E36" s="22"/>
    </row>
    <row r="37" spans="1:5" ht="15.6" x14ac:dyDescent="0.3">
      <c r="A37" s="22"/>
      <c r="B37" s="23"/>
      <c r="C37" s="22"/>
      <c r="D37" s="25"/>
      <c r="E37" s="22"/>
    </row>
    <row r="38" spans="1:5" ht="16.8" customHeight="1" x14ac:dyDescent="0.3">
      <c r="A38" s="22"/>
      <c r="B38" s="23"/>
      <c r="C38" s="24" t="s">
        <v>12</v>
      </c>
      <c r="D38" s="25"/>
      <c r="E38" s="22"/>
    </row>
    <row r="39" spans="1:5" ht="15" customHeight="1" x14ac:dyDescent="0.3">
      <c r="A39" s="27">
        <v>45981</v>
      </c>
      <c r="B39" s="32">
        <v>15</v>
      </c>
      <c r="C39" s="22" t="s">
        <v>38</v>
      </c>
      <c r="D39" s="25">
        <v>1900</v>
      </c>
      <c r="E39" s="22"/>
    </row>
    <row r="40" spans="1:5" ht="15.6" customHeight="1" x14ac:dyDescent="0.3">
      <c r="A40" s="27">
        <v>45945</v>
      </c>
      <c r="B40" s="32">
        <v>16</v>
      </c>
      <c r="C40" s="22" t="s">
        <v>37</v>
      </c>
      <c r="D40" s="25">
        <v>1900</v>
      </c>
      <c r="E40" s="22"/>
    </row>
    <row r="41" spans="1:5" ht="17.399999999999999" customHeight="1" x14ac:dyDescent="0.3">
      <c r="A41" s="27">
        <v>45862</v>
      </c>
      <c r="B41" s="32">
        <v>17</v>
      </c>
      <c r="C41" s="22" t="s">
        <v>37</v>
      </c>
      <c r="D41" s="25">
        <v>1900</v>
      </c>
      <c r="E41" s="22"/>
    </row>
    <row r="42" spans="1:5" ht="19.8" customHeight="1" x14ac:dyDescent="0.3">
      <c r="A42" s="27">
        <v>45749</v>
      </c>
      <c r="B42" s="32">
        <v>18</v>
      </c>
      <c r="C42" s="22" t="s">
        <v>37</v>
      </c>
      <c r="D42" s="25">
        <v>1900</v>
      </c>
      <c r="E42" s="22"/>
    </row>
    <row r="43" spans="1:5" ht="18" customHeight="1" x14ac:dyDescent="0.3">
      <c r="A43" s="27">
        <v>45740</v>
      </c>
      <c r="B43" s="32">
        <v>19</v>
      </c>
      <c r="C43" s="22" t="s">
        <v>37</v>
      </c>
      <c r="D43" s="25">
        <v>1900</v>
      </c>
      <c r="E43" s="22"/>
    </row>
    <row r="44" spans="1:5" ht="16.2" customHeight="1" x14ac:dyDescent="0.3">
      <c r="A44" s="27">
        <v>45726</v>
      </c>
      <c r="B44" s="32"/>
      <c r="C44" s="22" t="s">
        <v>37</v>
      </c>
      <c r="D44" s="25">
        <v>1900</v>
      </c>
      <c r="E44" s="22"/>
    </row>
    <row r="45" spans="1:5" ht="16.2" customHeight="1" x14ac:dyDescent="0.3">
      <c r="A45" s="27"/>
      <c r="B45" s="32"/>
      <c r="C45" s="22"/>
      <c r="D45" s="25"/>
      <c r="E45" s="22"/>
    </row>
    <row r="46" spans="1:5" ht="16.2" customHeight="1" x14ac:dyDescent="0.3">
      <c r="A46" s="27"/>
      <c r="B46" s="23" t="s">
        <v>13</v>
      </c>
      <c r="C46" s="33" t="s">
        <v>14</v>
      </c>
      <c r="D46" s="25">
        <f>SUM(D13:D44)</f>
        <v>349650.00000000006</v>
      </c>
      <c r="E46" s="22"/>
    </row>
    <row r="47" spans="1:5" ht="18" customHeight="1" x14ac:dyDescent="0.3">
      <c r="A47" s="29"/>
      <c r="B47" s="23" t="s">
        <v>15</v>
      </c>
      <c r="C47" s="4" t="s">
        <v>16</v>
      </c>
      <c r="D47" s="25">
        <f>16%*D46</f>
        <v>55944.000000000007</v>
      </c>
      <c r="E47" s="22"/>
    </row>
    <row r="48" spans="1:5" ht="15.6" x14ac:dyDescent="0.3">
      <c r="A48" s="22"/>
      <c r="B48" s="34" t="s">
        <v>17</v>
      </c>
      <c r="C48" s="35" t="s">
        <v>18</v>
      </c>
      <c r="D48" s="38">
        <f>D46+D47</f>
        <v>405594.00000000006</v>
      </c>
      <c r="E48" s="22"/>
    </row>
  </sheetData>
  <mergeCells count="4">
    <mergeCell ref="A1:E1"/>
    <mergeCell ref="A2:E2"/>
    <mergeCell ref="A3:C3"/>
    <mergeCell ref="A4:E4"/>
  </mergeCells>
  <pageMargins left="0.7" right="0.7" top="0.75" bottom="0.75" header="0.3" footer="0.3"/>
  <pageSetup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Doreen Khizi</dc:creator>
  <cp:lastModifiedBy>Doreen Khizi</cp:lastModifiedBy>
  <cp:lastPrinted>2026-03-12T11:37:54Z</cp:lastPrinted>
  <dcterms:created xsi:type="dcterms:W3CDTF">2026-03-12T05:43:54Z</dcterms:created>
  <dcterms:modified xsi:type="dcterms:W3CDTF">2026-03-12T12:45:06Z</dcterms:modified>
</cp:coreProperties>
</file>